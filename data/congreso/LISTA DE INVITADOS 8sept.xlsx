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cuments\sce 26\congresos internacionales\gye oct26\"/>
    </mc:Choice>
  </mc:AlternateContent>
  <xr:revisionPtr revIDLastSave="0" documentId="13_ncr:1_{184A5381-1711-4050-AD5B-2CB404F7B07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vitados" sheetId="1" r:id="rId1"/>
  </sheets>
  <definedNames>
    <definedName name="_xlnm._FilterDatabase" localSheetId="0" hidden="1">Invitados!$A$2:$K$70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5" i="1" l="1"/>
  <c r="C94" i="1"/>
  <c r="C93" i="1"/>
  <c r="C92" i="1"/>
  <c r="C91" i="1"/>
  <c r="C90" i="1"/>
  <c r="C89" i="1"/>
  <c r="C88" i="1"/>
  <c r="C96" i="1" s="1"/>
  <c r="C85" i="1"/>
  <c r="B81" i="1"/>
  <c r="S64" i="1"/>
  <c r="R64" i="1"/>
  <c r="Q64" i="1"/>
  <c r="S63" i="1"/>
  <c r="R63" i="1"/>
  <c r="Q63" i="1"/>
  <c r="S62" i="1"/>
  <c r="R62" i="1"/>
  <c r="Q62" i="1"/>
  <c r="S61" i="1"/>
  <c r="R61" i="1"/>
  <c r="Q61" i="1"/>
  <c r="S60" i="1"/>
  <c r="R60" i="1"/>
  <c r="Q60" i="1"/>
  <c r="A60" i="1"/>
  <c r="S59" i="1"/>
  <c r="R59" i="1"/>
  <c r="Q59" i="1"/>
  <c r="A59" i="1"/>
  <c r="S58" i="1"/>
  <c r="R58" i="1"/>
  <c r="Q58" i="1"/>
  <c r="A58" i="1"/>
  <c r="S57" i="1"/>
  <c r="R57" i="1"/>
  <c r="Q57" i="1"/>
  <c r="A57" i="1"/>
  <c r="S56" i="1"/>
  <c r="R56" i="1"/>
  <c r="Q56" i="1"/>
  <c r="A56" i="1"/>
  <c r="S55" i="1"/>
  <c r="R55" i="1"/>
  <c r="Q55" i="1"/>
  <c r="A55" i="1"/>
  <c r="S54" i="1"/>
  <c r="R54" i="1"/>
  <c r="Q54" i="1"/>
  <c r="A54" i="1"/>
  <c r="S53" i="1"/>
  <c r="R53" i="1"/>
  <c r="Q53" i="1"/>
  <c r="A53" i="1"/>
  <c r="S52" i="1"/>
  <c r="R52" i="1"/>
  <c r="Q52" i="1"/>
  <c r="A52" i="1"/>
  <c r="S51" i="1"/>
  <c r="R51" i="1"/>
  <c r="Q51" i="1"/>
  <c r="A51" i="1"/>
  <c r="S50" i="1"/>
  <c r="R50" i="1"/>
  <c r="Q50" i="1"/>
  <c r="A50" i="1"/>
  <c r="S49" i="1"/>
  <c r="R49" i="1"/>
  <c r="Q49" i="1"/>
  <c r="A49" i="1"/>
  <c r="S48" i="1"/>
  <c r="R48" i="1"/>
  <c r="Q48" i="1"/>
  <c r="A48" i="1"/>
  <c r="S47" i="1"/>
  <c r="R47" i="1"/>
  <c r="Q47" i="1"/>
  <c r="A47" i="1"/>
  <c r="S46" i="1"/>
  <c r="R46" i="1"/>
  <c r="Q46" i="1"/>
  <c r="A46" i="1"/>
  <c r="S45" i="1"/>
  <c r="R45" i="1"/>
  <c r="Q45" i="1"/>
  <c r="A45" i="1"/>
  <c r="S44" i="1"/>
  <c r="R44" i="1"/>
  <c r="Q44" i="1"/>
  <c r="A44" i="1"/>
  <c r="S43" i="1"/>
  <c r="R43" i="1"/>
  <c r="Q43" i="1"/>
  <c r="A43" i="1"/>
  <c r="S42" i="1"/>
  <c r="R42" i="1"/>
  <c r="Q42" i="1"/>
  <c r="A42" i="1"/>
  <c r="S41" i="1"/>
  <c r="R41" i="1"/>
  <c r="Q41" i="1"/>
  <c r="A41" i="1"/>
  <c r="S40" i="1"/>
  <c r="R40" i="1"/>
  <c r="Q40" i="1"/>
  <c r="A40" i="1"/>
  <c r="S39" i="1"/>
  <c r="R39" i="1"/>
  <c r="Q39" i="1"/>
  <c r="A39" i="1"/>
  <c r="S38" i="1"/>
  <c r="R38" i="1"/>
  <c r="Q38" i="1"/>
  <c r="A38" i="1"/>
  <c r="S37" i="1"/>
  <c r="R37" i="1"/>
  <c r="Q37" i="1"/>
  <c r="A37" i="1"/>
  <c r="S36" i="1"/>
  <c r="R36" i="1"/>
  <c r="Q36" i="1"/>
  <c r="A36" i="1"/>
  <c r="S35" i="1"/>
  <c r="R35" i="1"/>
  <c r="Q35" i="1"/>
  <c r="A35" i="1"/>
  <c r="S34" i="1"/>
  <c r="R34" i="1"/>
  <c r="Q34" i="1"/>
  <c r="A34" i="1"/>
  <c r="S33" i="1"/>
  <c r="R33" i="1"/>
  <c r="Q33" i="1"/>
  <c r="A33" i="1"/>
  <c r="S32" i="1"/>
  <c r="R32" i="1"/>
  <c r="Q32" i="1"/>
  <c r="A32" i="1"/>
  <c r="S31" i="1"/>
  <c r="R31" i="1"/>
  <c r="Q31" i="1"/>
  <c r="A31" i="1"/>
  <c r="S30" i="1"/>
  <c r="R30" i="1"/>
  <c r="Q30" i="1"/>
  <c r="A30" i="1"/>
  <c r="S29" i="1"/>
  <c r="R29" i="1"/>
  <c r="Q29" i="1"/>
  <c r="A29" i="1"/>
  <c r="S28" i="1"/>
  <c r="R28" i="1"/>
  <c r="Q28" i="1"/>
  <c r="A28" i="1"/>
  <c r="S27" i="1"/>
  <c r="R27" i="1"/>
  <c r="Q27" i="1"/>
  <c r="A27" i="1"/>
  <c r="S26" i="1"/>
  <c r="R26" i="1"/>
  <c r="Q26" i="1"/>
  <c r="A26" i="1"/>
  <c r="S25" i="1"/>
  <c r="R25" i="1"/>
  <c r="Q25" i="1"/>
  <c r="A25" i="1"/>
  <c r="S24" i="1"/>
  <c r="R24" i="1"/>
  <c r="Q24" i="1"/>
  <c r="A24" i="1"/>
  <c r="S23" i="1"/>
  <c r="R23" i="1"/>
  <c r="Q23" i="1"/>
  <c r="A23" i="1"/>
  <c r="S22" i="1"/>
  <c r="R22" i="1"/>
  <c r="Q22" i="1"/>
  <c r="A22" i="1"/>
  <c r="S21" i="1"/>
  <c r="R21" i="1"/>
  <c r="Q21" i="1"/>
  <c r="A21" i="1"/>
  <c r="S20" i="1"/>
  <c r="R20" i="1"/>
  <c r="Q20" i="1"/>
  <c r="A20" i="1"/>
  <c r="S19" i="1"/>
  <c r="R19" i="1"/>
  <c r="Q19" i="1"/>
  <c r="A19" i="1"/>
  <c r="S18" i="1"/>
  <c r="R18" i="1"/>
  <c r="Q18" i="1"/>
  <c r="A18" i="1"/>
  <c r="S17" i="1"/>
  <c r="R17" i="1"/>
  <c r="Q17" i="1"/>
  <c r="A17" i="1"/>
  <c r="S16" i="1"/>
  <c r="R16" i="1"/>
  <c r="Q16" i="1"/>
  <c r="A16" i="1"/>
  <c r="S15" i="1"/>
  <c r="R15" i="1"/>
  <c r="Q15" i="1"/>
  <c r="A15" i="1"/>
  <c r="S14" i="1"/>
  <c r="R14" i="1"/>
  <c r="Q14" i="1"/>
  <c r="A14" i="1"/>
  <c r="S13" i="1"/>
  <c r="R13" i="1"/>
  <c r="Q13" i="1"/>
  <c r="A13" i="1"/>
  <c r="S12" i="1"/>
  <c r="R12" i="1"/>
  <c r="Q12" i="1"/>
  <c r="A12" i="1"/>
  <c r="S11" i="1"/>
  <c r="R11" i="1"/>
  <c r="Q11" i="1"/>
  <c r="A11" i="1"/>
  <c r="S10" i="1"/>
  <c r="R10" i="1"/>
  <c r="Q10" i="1"/>
  <c r="A10" i="1"/>
  <c r="S9" i="1"/>
  <c r="R9" i="1"/>
  <c r="Q9" i="1"/>
  <c r="A9" i="1"/>
  <c r="S8" i="1"/>
  <c r="R8" i="1"/>
  <c r="Q8" i="1"/>
  <c r="A8" i="1"/>
  <c r="S7" i="1"/>
  <c r="R7" i="1"/>
  <c r="Q7" i="1"/>
  <c r="A7" i="1"/>
  <c r="S6" i="1"/>
  <c r="R6" i="1"/>
  <c r="Q6" i="1"/>
  <c r="A6" i="1"/>
  <c r="S5" i="1"/>
  <c r="R5" i="1"/>
  <c r="Q5" i="1"/>
  <c r="A5" i="1"/>
  <c r="S4" i="1"/>
  <c r="R4" i="1"/>
  <c r="Q4" i="1"/>
  <c r="A4" i="1"/>
  <c r="S3" i="1"/>
  <c r="R3" i="1"/>
  <c r="Q3" i="1"/>
  <c r="A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N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Admin:
Source: Colegio de Economistas del Guayas (sitio oficial), https://www.colegiodeeconomistasdelguayas.com/requisitos-para-afiliarse.html</t>
        </r>
      </text>
    </comment>
    <comment ref="O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Admin:
Source: Colegio de Economistas del Guayas (sitio oficial), https://www.colegiodeeconomistasdelguayas.com/</t>
        </r>
      </text>
    </comment>
    <comment ref="M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Admin:
Source: Vitapro (sitio oficial - Contáctanos), https://vitapro.com.pe/contactenos/</t>
        </r>
      </text>
    </comment>
    <comment ref="O4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Admin:
Source: Vitapro (sitio oficial), https://vitapro.com.pe/contactenos/ — no se encontró correo corporativo público para la filial Ecuador</t>
        </r>
      </text>
    </comment>
    <comment ref="M5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Admin:
Source: Vitapro (sitio oficial - Contáctanos), https://vitapro.com.pe/contactenos/</t>
        </r>
      </text>
    </comment>
    <comment ref="O5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Admin:
Source: Vitapro (sitio oficial), https://vitapro.com.pe/contactenos/ — no se encontró correo corporativo público para la filial Ecuador</t>
        </r>
      </text>
    </comment>
    <comment ref="M6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Admin:
Source: Jabonería Wilson (sitio oficial - Contáctanos), https://www.jaboneriawilson.com/contactanos/</t>
        </r>
      </text>
    </comment>
    <comment ref="N6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Admin:
Source: Jabonería Wilson (sitio oficial - Contáctanos), https://www.jaboneriawilson.com/contactanos/</t>
        </r>
      </text>
    </comment>
    <comment ref="O6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Admin:
Source: Jabonería Wilson (sitio oficial), https://www.jaboneriawilson.com/</t>
        </r>
      </text>
    </comment>
    <comment ref="M7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Admin:
Source: UEHOG (sitio oficial), https://uehog.edu.ec/</t>
        </r>
      </text>
    </comment>
    <comment ref="N7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Admin:
Source: UEHOG (sitio oficial), https://uehog.edu.ec/</t>
        </r>
      </text>
    </comment>
    <comment ref="O7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Admin:
Source: UEHOG (sitio oficial), https://uehog.edu.ec/</t>
        </r>
      </text>
    </comment>
    <comment ref="D17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Admin:
Source: X (@MarceloHurtadoA) y epico.gob.ec — Presidente del Directorio de CITEC, vigente en publicaciones de 2026</t>
        </r>
      </text>
    </comment>
    <comment ref="M17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Admin:
Source: CITEC (sitio oficial), https://citec.com.ec/contactanos/</t>
        </r>
      </text>
    </comment>
    <comment ref="N17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Admin:
Source: CITEC (sitio oficial), https://citec.com.ec/contactanos/</t>
        </r>
      </text>
    </comment>
    <comment ref="O17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Admin:
Source: CITEC (sitio oficial), https://citec.com.ec/</t>
        </r>
      </text>
    </comment>
    <comment ref="O18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Admin:
Source: SEPS (sitio oficial), https://www.seps.gob.ec/</t>
        </r>
      </text>
    </comment>
    <comment ref="O19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Admin:
Source: ARCSA (sitio oficial), https://www.controlsanitario.gob.ec/</t>
        </r>
      </text>
    </comment>
    <comment ref="N20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Admin:
Source: MIES (sitio oficial - IEPS), https://www.inclusion.gob.ec/instituto-de-economia-popular-y-solidaria/ — no se encontró correo institucional general público</t>
        </r>
      </text>
    </comment>
    <comment ref="O20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Admin:
Source: MIES (sitio oficial - IEPS), https://www.inclusion.gob.ec/instituto-de-economia-popular-y-solidaria/</t>
        </r>
      </text>
    </comment>
    <comment ref="N21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Admin:
Source: INIAP (Guía Oficial de Trámites, gob.ec), https://www.gob.ec/iniap/tramites/atencion-solicitudes-acceso-informacion-publica-0</t>
        </r>
      </text>
    </comment>
    <comment ref="O21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Admin:
Source: INIAP (sitio oficial), https://www.iniap.gob.ec/</t>
        </r>
      </text>
    </comment>
    <comment ref="O22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Admin:
Source: CES (sitio oficial), https://www.ces.gob.ec/</t>
        </r>
      </text>
    </comment>
    <comment ref="O23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Admin:
Source: Ministerio de Desarrollo Económico y Productivo (sitio ex-Producción), https://www.produccion.gob.ec/</t>
        </r>
      </text>
    </comment>
    <comment ref="O24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Admin:
Source: COPISA (sitio oficial), https://www.soberaniaalimentaria.gob.ec/</t>
        </r>
      </text>
    </comment>
    <comment ref="N25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Admin:
Source: AGROCALIDAD (sitio oficial), https://revistaecuadorescalidad.agrocalidad.gob.ec/revistaecuadorescalidad/index.php/revista/about/contact — no se encontró correo institucional general público</t>
        </r>
      </text>
    </comment>
    <comment ref="O25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Admin:
Source: AGROCALIDAD (sitio oficial), https://www.agrocalidad.gob.ec/</t>
        </r>
      </text>
    </comment>
    <comment ref="D26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Admin:
Source: Diario Expreso, https://www.expreso.ec/actualidad/economia/quien-es-alexandra-navarrete-la-nueva-directora-del-sri-258601.html — designada Directora General del SRI mediante Decreto Ejecutivo 156 (25 sep. 2025); vigente según cuentas oficiales del SRI en X/Facebook</t>
        </r>
      </text>
    </comment>
    <comment ref="M26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Admin:
Source: SRI (sitio oficial - Facebook verificado), https://www.facebook.com/SRIoficialECUADOR/</t>
        </r>
      </text>
    </comment>
    <comment ref="N26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Admin:
Source: SRI (sitio oficial), https://www.sri.gob.ec/en/sri-telefonico — no se encontró correo institucional general público</t>
        </r>
      </text>
    </comment>
    <comment ref="O26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Admin:
Source: SRI (sitio oficial), https://www.sri.gob.ec/</t>
        </r>
      </text>
    </comment>
    <comment ref="O27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Admin:
Source: Ministerio de Agricultura, Ganadería y Pesca (sitio oficial, en transición a Ministerio de Desarrollo Económico y Productivo por Decreto 425), https://www.agricultura.gob.ec/</t>
        </r>
      </text>
    </comment>
    <comment ref="O28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Admin:
Source: Ministerio de Agricultura, Ganadería y Pesca (sitio oficial, en transición a Ministerio de Desarrollo Económico y Productivo por Decreto 425), https://www.agricultura.gob.ec/</t>
        </r>
      </text>
    </comment>
    <comment ref="O29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Admin:
Source: CES (sitio oficial), https://www.ces.gob.ec/</t>
        </r>
      </text>
    </comment>
    <comment ref="O30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Admin:
Source: SERCOP (sitio oficial), https://www.sercop.gob.ec/</t>
        </r>
      </text>
    </comment>
    <comment ref="D31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Admin:
Source: SCVS (sitio oficial), https://www.supercias.gob.ec/portalscvs/Noticias/Noticias.php?seccion=noticia-18062026 — Superintendente de Compañías, Valores y Seguros, en funciones a jun. 2026</t>
        </r>
      </text>
    </comment>
    <comment ref="M31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Admin:
Source: Supercias (LinkedIn oficial), https://www.linkedin.com/company/superciasec</t>
        </r>
      </text>
    </comment>
    <comment ref="N31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Admin:
Source: Supercias (Facebook oficial), https://www.facebook.com/SuperciasEC/</t>
        </r>
      </text>
    </comment>
    <comment ref="O31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Admin:
Source: Supercias (sitio oficial), https://www.supercias.gob.ec/</t>
        </r>
      </text>
    </comment>
    <comment ref="D32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Admin:
Source: Diario Expreso, https://www.expreso.ec/politica/impugnan-candidatura-andres-fantoni-reeleccion-consejero-cpccs-293353.html — Presidente del CPCCS, periodo 2025-2027, vigente ago. 2026</t>
        </r>
      </text>
    </comment>
    <comment ref="M32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Admin:
Source: CPCCS (Guía Oficial de Trámites, gob.ec), https://www.gob.ec/cpccs/tramites/solicitud-atencion-pedidos-afecten-participacion-control-social</t>
        </r>
      </text>
    </comment>
    <comment ref="N32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Admin:
Source: CPCCS (sitio oficial), https://www.cpccs.gob.ec/</t>
        </r>
      </text>
    </comment>
    <comment ref="O32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Admin:
Source: CPCCS (sitio oficial), https://www.cpccs.gob.ec/</t>
        </r>
      </text>
    </comment>
    <comment ref="D33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Admin:
Source: Defensoría del Pueblo (sitio oficial), https://www.dpe.gob.ec/autoridades-defensoria-pueblo-ecuador-defensoria/ — Defensor del Pueblo (E), referenciado nuevamente en gk.city mar. 2026</t>
        </r>
      </text>
    </comment>
    <comment ref="M33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Admin:
Source: Defensoría del Pueblo (sitio oficial), https://www.dpe.gob.ec/donde-estamos/</t>
        </r>
      </text>
    </comment>
    <comment ref="N33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Admin:
Source: Defensoría del Pueblo (sitio oficial), https://www.dpe.gob.ec/donde-estamos/ — no se encontró correo institucional general público</t>
        </r>
      </text>
    </comment>
    <comment ref="O33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Admin:
Source: Defensoría del Pueblo (sitio oficial), https://www.dpe.gob.ec/</t>
        </r>
      </text>
    </comment>
    <comment ref="D34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Admin:
Source: MDT (oficio oficial), https://www.trabajo.gob.ec/wp-content/uploads/2025/12/MDT-MDT-2025-0916-O.pdf — Gerente de la Autoridad Portuaria de Guayaquil, vigente dic. 2025</t>
        </r>
      </text>
    </comment>
    <comment ref="M34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Admin:
Source: Autoridad Portuaria de Guayaquil (vía Agroscopio, datos oficiales de contacto APG), https://agroscopio.com/directorio/autoridad-portuaria-de-guayaquil/</t>
        </r>
      </text>
    </comment>
    <comment ref="N34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Admin:
Source: Autoridad Portuaria de Guayaquil, https://agroscopio.com/directorio/autoridad-portuaria-de-guayaquil/</t>
        </r>
      </text>
    </comment>
    <comment ref="O34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Admin:
Source: Autoridad Portuaria de Guayaquil (sitio oficial), https://www.puertodeguayaquil.gob.ec/</t>
        </r>
      </text>
    </comment>
    <comment ref="D35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Admin:
Source: MIT – Ministerio de Infraestructura y Transporte (sitio oficial), https://www.mit.gob.ec/puertos-y-transporte-maritimo-y-fluvial/ — Subsecretario de Puertos y Transporte Marítimo y Fluvial</t>
        </r>
      </text>
    </comment>
    <comment ref="M35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Admin:
Source: Autoridad Portuaria de Manta (comunicado oficial), https://www.puertodemanta.gob.ec/subsecretaria-de-puertos-transporte-maritimo-y-fluvial-con-nuevas-oficinas/</t>
        </r>
      </text>
    </comment>
    <comment ref="O35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Admin:
Source: MIT (sitio oficial), https://www.mit.gob.ec/puertos-y-transporte-maritimo-y-fluvial/</t>
        </r>
      </text>
    </comment>
    <comment ref="M36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Admin:
Source: ESMENA (sitio oficial), https://esmena.edu.ec/solicitudes/</t>
        </r>
      </text>
    </comment>
    <comment ref="N36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Admin:
Source: ESMENA (sitio oficial), https://esmena.edu.ec/2024/12/21/portafolio-cursos-2025-esmena-sede-guayas-santa-elena-el-oro-el-oriente-posorja/</t>
        </r>
      </text>
    </comment>
    <comment ref="O36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Admin:
Source: ESMENA (sitio oficial), https://esmena.edu.ec/</t>
        </r>
      </text>
    </comment>
    <comment ref="D37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Admin:
Source: CFN (sitio oficial), https://www.cfn.fin.ec/quienes-somos/ — Gerente General Encargada de la Corporación Financiera Nacional B.P., vigente 2026</t>
        </r>
      </text>
    </comment>
    <comment ref="M37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Admin:
Source: CFN (sitio oficial - Contactenos), https://www.cfn.fin.ec/contactenos/</t>
        </r>
      </text>
    </comment>
    <comment ref="N37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Admin:
Source: CFN (sitio oficial), https://www.cfn.fin.ec/comunicado-oficinas-de-atencion-cfn-tendran-nueva-ubicacion-a-partir-del-8-de-agosto/</t>
        </r>
      </text>
    </comment>
    <comment ref="O37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Admin:
Source: CFN (sitio oficial), https://www.cfn.fin.ec/</t>
        </r>
      </text>
    </comment>
    <comment ref="M38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Admin:
Source: ESMENA (sitio oficial), https://esmena.edu.ec/solicitudes/</t>
        </r>
      </text>
    </comment>
    <comment ref="N38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Admin:
Source: ESMENA (sitio oficial), https://esmena.edu.ec/2024/12/21/portafolio-cursos-2025-esmena-sede-guayas-santa-elena-el-oro-el-oriente-posorja/</t>
        </r>
      </text>
    </comment>
    <comment ref="O38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Admin:
Source: ESMENA (sitio oficial), https://esmena.edu.ec/</t>
        </r>
      </text>
    </comment>
    <comment ref="M39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Admin:
Source: TES (sitio oficial), https://www.tes.edu.ec/</t>
        </r>
      </text>
    </comment>
    <comment ref="N39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Admin:
Source: TES (sitio oficial), https://www.tes.edu.ec/</t>
        </r>
      </text>
    </comment>
    <comment ref="O39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Admin:
Source: TES (sitio oficial), https://www.tes.edu.ec/</t>
        </r>
      </text>
    </comment>
    <comment ref="M40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Admin:
Source: Ecuador-Local (directorio), https://www.ecuador-local.com/guayaquil/escuela/instituto-tecnologico-superior-guayaquil</t>
        </r>
      </text>
    </comment>
    <comment ref="N40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Admin:
Source: ITSG (blog institucional oficial), https://itsguayaquilambato.blogspot.com/p/contacto.html</t>
        </r>
      </text>
    </comment>
    <comment ref="O40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Admin:
Source: ITSG (referenciado en directorio institucional), http://ecuadoruniversitario.com/i-e-s/institutos-del-ecuador/instituto-superior-tecnologico-docente-guayaquil/</t>
        </r>
      </text>
    </comment>
    <comment ref="M41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Admin:
Source: Instituto Superior Tecnológico Simón Bolívar (Facebook oficial), https://www.facebook.com/ISTSB.Oficial/</t>
        </r>
      </text>
    </comment>
    <comment ref="O41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Admin:
Source: Instituto Superior Tecnológico Simón Bolívar (sitio oficial), https://istsb.edu.ec/</t>
        </r>
      </text>
    </comment>
    <comment ref="D42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Admin:
Source: ITB (X oficial @ITBolivariano), https://x.com/ITBolivariano/status/1966264686745198963 — asumió el rectorado del ITB en sep. 2025 (periodo hasta 2030); confirmado en itb.edu.ec/Autoridades</t>
        </r>
      </text>
    </comment>
    <comment ref="M42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Admin:
Source: ITB (sitio oficial), https://itb.edu.ec/</t>
        </r>
      </text>
    </comment>
    <comment ref="N42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Admin:
Source: ITB (sitio oficial), https://itb.edu.ec/Vinculacion</t>
        </r>
      </text>
    </comment>
    <comment ref="O42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Admin:
Source: ITB (sitio oficial), https://itb.edu.ec/</t>
        </r>
      </text>
    </comment>
    <comment ref="O43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Admin:
Source: Universidad Técnica de Manabí (sitio oficial), https://www.utm.edu.ec/</t>
        </r>
      </text>
    </comment>
    <comment ref="O44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Admin:
Source: UNESUM (sitio oficial), https://www.unesum.edu.ec/</t>
        </r>
      </text>
    </comment>
    <comment ref="O45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Admin:
Source: ESPAM (sitio oficial), https://www.espam.edu.ec/</t>
        </r>
      </text>
    </comment>
    <comment ref="O46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Admin:
Source: ULEAM (sitio oficial), https://www.uleam.edu.ec/</t>
        </r>
      </text>
    </comment>
    <comment ref="O47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Admin:
Source: UTEG (sitio oficial), https://www.uteg.edu.ec/</t>
        </r>
      </text>
    </comment>
    <comment ref="O48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Admin:
Source: Universidad UTE (sitio oficial), https://www.ute.edu.ec/</t>
        </r>
      </text>
    </comment>
    <comment ref="O49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Admin:
Source: Universidad de Guayaquil (sitio oficial), https://www.ug.edu.ec/</t>
        </r>
      </text>
    </comment>
    <comment ref="O50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Admin:
Source: ESPOL (sitio oficial), https://www.espol.edu.ec/</t>
        </r>
      </text>
    </comment>
    <comment ref="O51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Admin:
Source: UCSG (sitio oficial), https://www.ucsg.edu.ec/</t>
        </r>
      </text>
    </comment>
    <comment ref="O52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Admin:
Source: UNEMI (sitio oficial), https://www.unemi.edu.ec/</t>
        </r>
      </text>
    </comment>
    <comment ref="D53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Admin:
Source: ESPOCH (sitio oficial), https://www.espoch.edu.ec/news/espoch-eligio-a-sus-nuevas-autoridades-y-representantes-a-cogobierno/ — rector electo en elecciones de ene. 2026, asumió funciones el 10 de agosto de 2026</t>
        </r>
      </text>
    </comment>
    <comment ref="M53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Admin:
Source: ESPOCH (sitio oficial), https://www.espoch.edu.ec/campus-information/</t>
        </r>
      </text>
    </comment>
    <comment ref="N53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Admin:
Source: ESPOCH (referenciado oficialmente), https://ec.viajandox.com/riobamba/espoch-A3891</t>
        </r>
      </text>
    </comment>
    <comment ref="O53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Admin:
Source: ESPOCH (sitio oficial), https://www.espoch.edu.ec/</t>
        </r>
      </text>
    </comment>
    <comment ref="D54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Admin:
Source: UNACH (sitio oficial), https://www.unach.edu.ec/unach-posesiona-a-sus-nuevas-autoridades-para-el-periodo-2026-2031/ — posesionada como rectora el 17 de marzo de 2026 para el periodo 2026-2031</t>
        </r>
      </text>
    </comment>
    <comment ref="M54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Admin:
Source: UNACH (sitio oficial - Contactos), http://vinculacion.unach.edu.ec/contactos/</t>
        </r>
      </text>
    </comment>
    <comment ref="N54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Admin:
Source: UNACH (referenciado oficialmente), http://unicarrera.com/universidad/universidad-nacional-de-chimborazo-unach/</t>
        </r>
      </text>
    </comment>
    <comment ref="O54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Admin:
Source: UNACH (sitio oficial), https://www.unach.edu.ec/</t>
        </r>
      </text>
    </comment>
    <comment ref="O55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Admin:
Source: Universidad Agraria del Ecuador (sitio oficial), https://www.uagraria.edu.ec/</t>
        </r>
      </text>
    </comment>
    <comment ref="D56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Admin:
Source: Diario Expreso, https://www.expreso.ec/actualidad/joaquin-hernandez-universidades-hechas-entregar-titulos-204184.html (rector desde jun. 2024; confirmado en ecotec.edu.ec y publicaciones de 2025)</t>
        </r>
      </text>
    </comment>
    <comment ref="M56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Admin:
Source: ECOTEC (sitio oficial), https://ecotec.edu.ec/en/contact-us/</t>
        </r>
      </text>
    </comment>
    <comment ref="N56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Admin:
Source: ECOTEC (sitio oficial), https://ecotec.edu.ec/en/contact-us/</t>
        </r>
      </text>
    </comment>
    <comment ref="O56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Admin:
Source: ECOTEC (sitio oficial), https://ecotec.edu.ec/en/</t>
        </r>
      </text>
    </comment>
    <comment ref="D57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Admin:
Source: Convenio UEES-FAE (feb. 2026), https://coed.mil.ec/wp-content/uploads/2026/02/Convenio_UEES.pdf — lo identifica como Rector vigente de la UEES</t>
        </r>
      </text>
    </comment>
    <comment ref="M57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Admin:
Source: UEES (sitio oficial), https://online.uees.edu.ec/</t>
        </r>
      </text>
    </comment>
    <comment ref="N57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Admin:
Source: UEES (sitio oficial), https://online.uees.edu.ec/</t>
        </r>
      </text>
    </comment>
    <comment ref="O57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Admin:
Source: UEES (sitio oficial), https://uees.edu.ec/en/</t>
        </r>
      </text>
    </comment>
    <comment ref="D58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Admin:
Source: Salesianos Ecuador, https://www.salesianos.org.ec/2026/08/05/la-universidad-politecnica-salesiana-fortalece-la-huella-cientifica-del-ecuador/ (ago. 2026)</t>
        </r>
      </text>
    </comment>
    <comment ref="M58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Admin:
Source: Wikipedia (Universidad Politécnica Salesiana), verificado en publicaciones institucionales UPS, https://es.wikipedia.org/wiki/Universidad_Polit%C3%A9cnica_Salesiana</t>
        </r>
      </text>
    </comment>
    <comment ref="N58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Admin:
Source: UPS (sitio oficial), https://www.ups.edu.ec/en/matriculas-guayaquil</t>
        </r>
      </text>
    </comment>
    <comment ref="O58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Admin:
Source: UPS (sitio oficial), https://www.ups.edu.ec/en/</t>
        </r>
      </text>
    </comment>
    <comment ref="D59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Admin:
Source: Diario Crónica, https://cronica.com.ec/2026/05/06/utpl-55-anos-formando-profesionales-a-nivel-del-mundo/ (mayo 2026)</t>
        </r>
      </text>
    </comment>
    <comment ref="O59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Admin:
Source: UTPL (sitio oficial), https://www.utpl.edu.ec/</t>
        </r>
      </text>
    </comment>
    <comment ref="D60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Admin:
Source: UBE (sitio oficial), https://ube.edu.ec/Autoridades y https://ube.edu.ec/ — Rector de la Universidad Bolivariana del Ecuador (UBE), vigente 2026</t>
        </r>
      </text>
    </comment>
    <comment ref="M60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Admin:
Source: UBE (sitio oficial), https://ube.edu.ec/</t>
        </r>
      </text>
    </comment>
    <comment ref="O60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Admin:
Source: UBE (sitio oficial), https://ube.edu.ec/</t>
        </r>
      </text>
    </comment>
    <comment ref="M61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Admin:
Source: GAD Municipal de Salinas (referenciado oficialmente), https://ec.todosnegocios.com/gad-municipal-de-salinas-03-258-8563</t>
        </r>
      </text>
    </comment>
    <comment ref="N61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Admin:
Source: GAD Municipal de Salinas, https://ec.todosnegocios.com/gad-municipal-de-salinas-03-258-8563 — no se encontró correo institucional visible públicamente</t>
        </r>
      </text>
    </comment>
    <comment ref="O61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Admin:
Source: GAD Municipal de Salinas (sitio oficial), https://www.salinas.gob.ec/</t>
        </r>
      </text>
    </comment>
    <comment ref="M62" authorId="0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Admin:
Source: SECAP (directorio institucional oficial LOTAIP), https://www.secap.gob.ec/wp-content/uploads/downloads/2022/03/Literalb1_febrero2022.pdf</t>
        </r>
      </text>
    </comment>
    <comment ref="N62" authorId="0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Admin:
Source: SECAP (directorio de centros), https://educacionecuadorministerio.blogspot.com/2017/09/centros-secap-servicio-ecuatoriano-de-capacitacion-profesional-www.secap.gob.ec.html</t>
        </r>
      </text>
    </comment>
    <comment ref="O62" authorId="0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Admin:
Source: SECAP (sitio oficial), https://www.secap.gob.ec/</t>
        </r>
      </text>
    </comment>
    <comment ref="D63" authorId="0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Admin:
Source: RIAL, https://rialnet.org/?q=es%2FMin_Trabajo_Ecuador — Ministra de Trabajo y Desarrollo Humano desde el 5 de junio de 2026; confirmado en El Universo (19 jun. 2026)</t>
        </r>
      </text>
    </comment>
    <comment ref="M63" authorId="0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Admin:
Source: MDT (referenciado oficialmente en RIAL), https://rialnet.org/?q=es%2FMin_Trabajo_Ecuador</t>
        </r>
      </text>
    </comment>
    <comment ref="N63" authorId="0" shapeId="0" xr:uid="{00000000-0006-0000-0000-000079000000}">
      <text>
        <r>
          <rPr>
            <sz val="11"/>
            <color theme="1"/>
            <rFont val="Calibri"/>
            <family val="2"/>
            <scheme val="minor"/>
          </rPr>
          <t>Admin:
Source: MDT (Guía Oficial de Trámites, gob.ec), https://www.gob.ec/mt/tramites/acceso-informacion-publica-ministerio-trabajo</t>
        </r>
      </text>
    </comment>
    <comment ref="O63" authorId="0" shapeId="0" xr:uid="{00000000-0006-0000-0000-00007A000000}">
      <text>
        <r>
          <rPr>
            <sz val="11"/>
            <color theme="1"/>
            <rFont val="Calibri"/>
            <family val="2"/>
            <scheme val="minor"/>
          </rPr>
          <t>Admin:
Source: MDT (sitio oficial), https://www.trabajo.gob.ec/</t>
        </r>
      </text>
    </comment>
    <comment ref="D64" authorId="0" shapeId="0" xr:uid="{00000000-0006-0000-0000-00007B000000}">
      <text>
        <r>
          <rPr>
            <sz val="11"/>
            <color theme="1"/>
            <rFont val="Calibri"/>
            <family val="2"/>
            <scheme val="minor"/>
          </rPr>
          <t>Admin:
Source: El Diario, https://www.eldiario.ec/negocios/el-giro-de-banecuador-en-2026-mas-prestamos-de-consumo-y-menos-credito-para-pequenos-productores-10072026/ — Gerente General de BanEcuador, vigente jul. 2026</t>
        </r>
      </text>
    </comment>
    <comment ref="M64" authorId="0" shapeId="0" xr:uid="{00000000-0006-0000-0000-00007C000000}">
      <text>
        <r>
          <rPr>
            <sz val="11"/>
            <color theme="1"/>
            <rFont val="Calibri"/>
            <family val="2"/>
            <scheme val="minor"/>
          </rPr>
          <t>Admin:
Source: BanEcuador (sitio oficial), https://banec.laeradigital.net/ufaq-category/banca-electronica/</t>
        </r>
      </text>
    </comment>
    <comment ref="N64" authorId="0" shapeId="0" xr:uid="{00000000-0006-0000-0000-00007D000000}">
      <text>
        <r>
          <rPr>
            <sz val="11"/>
            <color theme="1"/>
            <rFont val="Calibri"/>
            <family val="2"/>
            <scheme val="minor"/>
          </rPr>
          <t>Admin:
Source: BanEcuador (sitio oficial), https://banec.laeradigital.net/ufaq-category/banca-electronica/</t>
        </r>
      </text>
    </comment>
    <comment ref="O64" authorId="0" shapeId="0" xr:uid="{00000000-0006-0000-0000-00007E000000}">
      <text>
        <r>
          <rPr>
            <sz val="11"/>
            <color theme="1"/>
            <rFont val="Calibri"/>
            <family val="2"/>
            <scheme val="minor"/>
          </rPr>
          <t>Admin:
Source: BanEcuador (sitio oficial), https://www.banecuador.fin.ec/</t>
        </r>
      </text>
    </comment>
  </commentList>
</comments>
</file>

<file path=xl/sharedStrings.xml><?xml version="1.0" encoding="utf-8"?>
<sst xmlns="http://schemas.openxmlformats.org/spreadsheetml/2006/main" count="774" uniqueCount="434">
  <si>
    <t>CONFIRMACIÓN DE ASISTENTES CONGRESO INTERNACIONAL</t>
  </si>
  <si>
    <t>Confirmado por día</t>
  </si>
  <si>
    <t>No</t>
  </si>
  <si>
    <t>Institucion</t>
  </si>
  <si>
    <t>Tipo institución</t>
  </si>
  <si>
    <t>Destinatario oficio</t>
  </si>
  <si>
    <t>Firma</t>
  </si>
  <si>
    <t>Nombre asistente o delegado</t>
  </si>
  <si>
    <t>Calidad</t>
  </si>
  <si>
    <t>Responsable seguimiento</t>
  </si>
  <si>
    <t>Confirmado</t>
  </si>
  <si>
    <t>21 de octubre de 2026</t>
  </si>
  <si>
    <t>22 de octubre de 2026</t>
  </si>
  <si>
    <t>Cargo</t>
  </si>
  <si>
    <t>Dirección</t>
  </si>
  <si>
    <t>Correo electrónico</t>
  </si>
  <si>
    <t>Sitio web</t>
  </si>
  <si>
    <t>Observaciones</t>
  </si>
  <si>
    <t>Responsable: Nombres</t>
  </si>
  <si>
    <t>Responsable: celular</t>
  </si>
  <si>
    <t>Responsable: Correo</t>
  </si>
  <si>
    <t>N° Oficio</t>
  </si>
  <si>
    <t>Colegio de Economistas del Guayas</t>
  </si>
  <si>
    <t>Institución privada</t>
  </si>
  <si>
    <t>Freddy Torres</t>
  </si>
  <si>
    <t>IR</t>
  </si>
  <si>
    <t>Invitación General</t>
  </si>
  <si>
    <t>Milka</t>
  </si>
  <si>
    <t>Presidente</t>
  </si>
  <si>
    <t>Av. José de Antepara 911 y, 090303</t>
  </si>
  <si>
    <t>info@colegiodeeconomistasdelguayas.com</t>
  </si>
  <si>
    <t>https://www.colegiodeeconomistasdelguayas.com/</t>
  </si>
  <si>
    <t>Pendiente: firma IR (tanda de oficios aún no generada)</t>
  </si>
  <si>
    <t>VITAPRO ECUADOR CIA. LTDA.</t>
  </si>
  <si>
    <t>Fabricio Vargas Elías, MBA</t>
  </si>
  <si>
    <t>Superintendente</t>
  </si>
  <si>
    <t>Despacho</t>
  </si>
  <si>
    <t>CEO Vitapro Global</t>
  </si>
  <si>
    <t>Av. de las Américas 406, Edif. Centro Empresarial II, Guayaquil, Ecuador</t>
  </si>
  <si>
    <t xml:space="preserve">fvargasel@vitapro.com.ec  </t>
  </si>
  <si>
    <t>https://vitapro.com.pe/</t>
  </si>
  <si>
    <t>Sin oficio generado (Firma: Superintendente)</t>
  </si>
  <si>
    <t>Carlos Quispe Basaldua, MBA</t>
  </si>
  <si>
    <t>Gerente General</t>
  </si>
  <si>
    <t>cquispeb@vitapro.com.ec</t>
  </si>
  <si>
    <t>Jabonería Wilson</t>
  </si>
  <si>
    <t>Francisco Guerrero Cabrera</t>
  </si>
  <si>
    <t>Luis Calderón s/n, Vía La Independencia (Calacalí), Quito, Ecuador</t>
  </si>
  <si>
    <t>mgalarza@jaboneriawilson.com; nmoran@jaboneriawilson.com; info@jaboneriawilson.com; fguerrero@jaboneriawilson.com</t>
  </si>
  <si>
    <t>https://www.jaboneriawilson.com/</t>
  </si>
  <si>
    <t>Unidad Educativa Particular "Teniente Hugo Ortiz Garcés"</t>
  </si>
  <si>
    <t>Dr. Sergio Calderón Lucas</t>
  </si>
  <si>
    <t>OTAP</t>
  </si>
  <si>
    <t>Rector</t>
  </si>
  <si>
    <t>Cdla. Eloy Alfaro del Camino. Paso Lateral. Portoviejo - Manabí</t>
  </si>
  <si>
    <t>uetnthugoortiz@gmail.com</t>
  </si>
  <si>
    <t>https://uehog.edu.ec/</t>
  </si>
  <si>
    <t>ANECACAO – Asoc. Nacional de Exportadores de Cacao e Industrializados del Ecuador</t>
  </si>
  <si>
    <t>Ing. Iván Ontaneda</t>
  </si>
  <si>
    <t>Presidente del Directorio</t>
  </si>
  <si>
    <t>Km 1.5 vía Samborondón, Edificio de Negocios Xima, piso 3, oficina 303 – Samborondón, Ecuador</t>
  </si>
  <si>
    <t>(593) 99 404 2152 – (593) 95 885 2971 administrativo@anecacao.com</t>
  </si>
  <si>
    <t>https://anecacao.com/</t>
  </si>
  <si>
    <t>ECO-KAKAO S.A.</t>
  </si>
  <si>
    <t>CEO / Fundador</t>
  </si>
  <si>
    <t>Km. 7.5 vía a Daule, Lotización Santa Cecilia, Guayaquil</t>
  </si>
  <si>
    <t>(593-4) 225-0783 | info@eco-kakao.com.ec</t>
  </si>
  <si>
    <t>https://eco-kakao.com.ec/</t>
  </si>
  <si>
    <t>AGSO – Asociación de Ganaderos del Litoral y Galápagos</t>
  </si>
  <si>
    <t>Ing. Carlos Encalada Villacis</t>
  </si>
  <si>
    <t>OTAC</t>
  </si>
  <si>
    <t>Presidente / Representante Legal</t>
  </si>
  <si>
    <t>Cdla. La Fae Mz. 38, Villa 9, Guayaquil 090513</t>
  </si>
  <si>
    <t>info@aglyg.com</t>
  </si>
  <si>
    <t>https://www.agricultura.gob.ec/</t>
  </si>
  <si>
    <t>Cámara de Comercio de Guayaquil</t>
  </si>
  <si>
    <t>Miguel Ángel González Guzmán</t>
  </si>
  <si>
    <t>Av. Francisco de Orellana y Miguel H. Alcívar, Guayaquil</t>
  </si>
  <si>
    <t>info@lacamara.org</t>
  </si>
  <si>
    <t>https://www.lacamara.org/website/</t>
  </si>
  <si>
    <t>Cámara de Industrias de Guayaquil</t>
  </si>
  <si>
    <t>Juan Carlos Navarro</t>
  </si>
  <si>
    <t>Kennedy Norte, Av. Francisco de Orellana y Miguel H. Alcívar, Guayaquil</t>
  </si>
  <si>
    <t>caindgye@industrias.ec</t>
  </si>
  <si>
    <t>https://www.industrias.ec/nuestroequipo.php</t>
  </si>
  <si>
    <t>CAPIG – Cámara de la Pequeña Industria del Guayas</t>
  </si>
  <si>
    <t>Patricia Moreira</t>
  </si>
  <si>
    <t>Presidenta</t>
  </si>
  <si>
    <t>Av. de las Américas 128 y Calle 10, frente al Centro Conv. Simón Bolívar, Guayaquil</t>
  </si>
  <si>
    <t>+593 99 940 7788 | info@capig.org.ec</t>
  </si>
  <si>
    <t>https://capig.org.ec/</t>
  </si>
  <si>
    <t>Cámara Nacional de Acuacultura (CNA)</t>
  </si>
  <si>
    <t>Ing. Marcelo Vélez</t>
  </si>
  <si>
    <t>Av. Fco. de Orellana y Miguel H. Alcívar, Centro Empres. Las Cámaras, 3er piso, Guayaquil</t>
  </si>
  <si>
    <t>(593-4) 268-3017 | cna@cna-ecuador.com</t>
  </si>
  <si>
    <t>https://www.cna-ecuador.com/</t>
  </si>
  <si>
    <t>CORPCOM – Corporación de Industriales Arroceros del Ecuador</t>
  </si>
  <si>
    <t>Juan Pablo Zúñiga</t>
  </si>
  <si>
    <t>Parque Empresarial Colón, Empresarial 1, 1er piso Of. 105, Guayaquil</t>
  </si>
  <si>
    <t>(593-4) 213-6172 / 213-6173 | corpcom@corpcom.com.ec | WA: +593 99 319 3172</t>
  </si>
  <si>
    <t>https://corpcom.com.ec/</t>
  </si>
  <si>
    <t>FEDEXPOR – Federación Ecuatoriana de Exportadores</t>
  </si>
  <si>
    <t>Iván Wong</t>
  </si>
  <si>
    <t>Carlos G</t>
  </si>
  <si>
    <t>Av. de las Américas 510, Ed. Sky Building, Piso 7, Of. 707, Guayaquil</t>
  </si>
  <si>
    <t>(593-4) 388-3502 | fedexpor.com</t>
  </si>
  <si>
    <t>https://www.fedexpor.com/</t>
  </si>
  <si>
    <t>Cámara de innovacion y tecnologia Ecuatoriana</t>
  </si>
  <si>
    <t>Marcelo Hurtado A.</t>
  </si>
  <si>
    <t>Avenida Orellana E4-430 y Amazonas, 170517, Quito, Ecuador</t>
  </si>
  <si>
    <t>info@citec.com.ec | +593 98 931 0654</t>
  </si>
  <si>
    <t>https://citec.com.ec/</t>
  </si>
  <si>
    <t>664</t>
  </si>
  <si>
    <t xml:space="preserve">Superintendencia de Económica Popular y Solidaria - SEPS </t>
  </si>
  <si>
    <t>Institución pública</t>
  </si>
  <si>
    <t>Mgs. Christina Murillo Navarrete</t>
  </si>
  <si>
    <t>Superintendente de Economía Popular y Solidaria</t>
  </si>
  <si>
    <t>Av. Amazonas N32-87 y La Granja, Quito</t>
  </si>
  <si>
    <t>recepciondocumental@seps.gob.ec, christina.murillo@seps.gob.ec</t>
  </si>
  <si>
    <t>https://www.seps.gob.ec/</t>
  </si>
  <si>
    <t>665</t>
  </si>
  <si>
    <t>Error de tipeo heredado (lista y oficio): dice "Superintendencia de Económica Popular y Solidaria", debería decir "Superintendencia de Economía Popular y Solidaria"</t>
  </si>
  <si>
    <t>Agencia Nacional de Regulación, Control y Vigilancia Sanitaria (ARCSA)</t>
  </si>
  <si>
    <t>Dr. Daniel Sánchez Procel</t>
  </si>
  <si>
    <t>Director Ejecutivo</t>
  </si>
  <si>
    <t>Ciudadela Samanes, Av. Francisco de Orellana y Av. Paseo del Parque, Parque Samanes, Bloque 5</t>
  </si>
  <si>
    <t>carmen.macias@controlsanitario.gob.ec, atencionalusuario@controlsanitario.gob.ec</t>
  </si>
  <si>
    <t>https://www.controlsanitario.gob.ec/</t>
  </si>
  <si>
    <t>666</t>
  </si>
  <si>
    <t>Instituto de Economía Popular y Solidaria (IEPS)</t>
  </si>
  <si>
    <t>Juan Diego Tandazo Jirón</t>
  </si>
  <si>
    <t>Directora General</t>
  </si>
  <si>
    <t>Av. Amaru Ñan, Quito. Piso 6</t>
  </si>
  <si>
    <t>juan.tandazo@ieps.gob.ec</t>
  </si>
  <si>
    <t>https://www.economiasolidaria.gob.ec/</t>
  </si>
  <si>
    <t>667</t>
  </si>
  <si>
    <t>Discordancia de género en oficio y lista: dice "Señor Juan Diego Tandazo Jirón / DIRECTORA GENERAL"; verificar tratamiento o nombre del cargo</t>
  </si>
  <si>
    <t>Instituto Nacional de Investigaciones Agropecuarias - INIAP</t>
  </si>
  <si>
    <t>Raúl Jaramillo Velasteguí</t>
  </si>
  <si>
    <t>Av. Eloy Alfaro N30-350 y Av. Amazonas Código Postal: 170518 / Quito - Ecuador</t>
  </si>
  <si>
    <t>iniap@iniap.gob.ec</t>
  </si>
  <si>
    <t>https://www.iniap.gob.ec/</t>
  </si>
  <si>
    <t>668</t>
  </si>
  <si>
    <t>Comisión Permanente de Institutos y Conservatorios Superiores (CES)</t>
  </si>
  <si>
    <t>Dra. Angela del Rocio Calderon Tobar</t>
  </si>
  <si>
    <t>Intendente Regional</t>
  </si>
  <si>
    <t>Jorge Washington E4-157 y Av. Amazonas, Edificio "Cabrera Chavez", Quito</t>
  </si>
  <si>
    <t>angela.calderon@ces.gob.ec</t>
  </si>
  <si>
    <t>https://www.ces.gob.ec/</t>
  </si>
  <si>
    <t>669</t>
  </si>
  <si>
    <t xml:space="preserve">Ministerio de Desarrollo Económico y Productivo </t>
  </si>
  <si>
    <t>Ec. Sariha Moya</t>
  </si>
  <si>
    <t>Ministra</t>
  </si>
  <si>
    <t>Av. Rio Amazonas, Entre Union
Nacional De Periodistas Y Alfonso
Pereira, Edificio Plataforma
Gubernamental Norte, Piso 8, Bloque
Amarillo.</t>
  </si>
  <si>
    <t>ljaramillo@produccion.gob.ec</t>
  </si>
  <si>
    <t>https://www.produccion.gob.ec/</t>
  </si>
  <si>
    <t>670</t>
  </si>
  <si>
    <t>Conferencia Plurinacional e Intercultural de Soberanía Alimentaria (COPISA)</t>
  </si>
  <si>
    <t>Ing. Loyda Olivo</t>
  </si>
  <si>
    <t>Av. Amazonas y Av. Eloy Alfaro Edificio MAG, piso 2.
Quito-Ecuador</t>
  </si>
  <si>
    <t>comunicacion@soberaniaalimentaria.gob.ec</t>
  </si>
  <si>
    <t>https://www.soberaniaalimentaria.gob.ec/</t>
  </si>
  <si>
    <t>671</t>
  </si>
  <si>
    <t>Agencia de Regulación y Control Fito y Zoosanitario (AGROCALIDAD)</t>
  </si>
  <si>
    <t>Danny Morales Rubio</t>
  </si>
  <si>
    <t>Av. Eloy Alfaro N30-350 y Av. Amazonas. Ed. MAG, piso 9.</t>
  </si>
  <si>
    <t>comunicacion@agrocalidad.gob.ec</t>
  </si>
  <si>
    <t>https://www.agrocalidad.gob.ec/</t>
  </si>
  <si>
    <t>672</t>
  </si>
  <si>
    <t>Servicio de Rentas Internas - SRI</t>
  </si>
  <si>
    <t>Ing. Alexandra Verónica Navarrete Ricaurte</t>
  </si>
  <si>
    <t>Plataforma Gubernamental Financiera, Av. Amazonas entre Unión Nacional de Periodistas y José Villalengua, Quito, Ecuador</t>
  </si>
  <si>
    <t>avnavarrete@sri.gob.ec</t>
  </si>
  <si>
    <t>https://www.sri.gob.ec/</t>
  </si>
  <si>
    <t>673</t>
  </si>
  <si>
    <t>Ministerio de Desarrollo Económico y Productivo (antes Ministerio de Agricultura y Ganadería (MAG))</t>
  </si>
  <si>
    <t>Subsecretarias</t>
  </si>
  <si>
    <t>Ministro</t>
  </si>
  <si>
    <t>Av. Amazonas y Av. Eloy Alfaro</t>
  </si>
  <si>
    <t>Ministerio de Desarrollo Económico y Productivo(antes Ministerio de Producción, Comercio Exterior e Inversiones)</t>
  </si>
  <si>
    <t>Consejo de Educación Superior (CES)</t>
  </si>
  <si>
    <t>PHd. Fidel Marquez Sánchez</t>
  </si>
  <si>
    <t>fidel.marquez@ces.gob.ec</t>
  </si>
  <si>
    <t>674</t>
  </si>
  <si>
    <t>Servicio Nacional de Contratación Pública (SERCOP)</t>
  </si>
  <si>
    <t>Ab. Nataly Aviléz</t>
  </si>
  <si>
    <t>Plataforma Gubernamental Financiera, Avenida Amazonas, y y Alfonso Pereira, Quito</t>
  </si>
  <si>
    <t>gestiondocumental@sercop.gob.ec, nataly.aviles@sercop.gob.ec</t>
  </si>
  <si>
    <t>https://www.sercop.gob.ec/</t>
  </si>
  <si>
    <t>675</t>
  </si>
  <si>
    <t>Superintendencia de Compañías Valores y Seguros</t>
  </si>
  <si>
    <t>Ab. Luis Alberto Cabezas-Klaere</t>
  </si>
  <si>
    <t>OTAL</t>
  </si>
  <si>
    <t>9 de Octubre 200 y Pichincha, Guayaquil 090313, Ecuador (Matriz)</t>
  </si>
  <si>
    <t>comunicacion_gye@supercias.gob.ec,lcabezask@supercias.gob.ec ,mrosalesf@supercias.gob.ec | (04) 372-8500</t>
  </si>
  <si>
    <t>https://www.supercias.gob.ec/</t>
  </si>
  <si>
    <t>676</t>
  </si>
  <si>
    <t>Consejo de Participación Ciudadana y Control Social</t>
  </si>
  <si>
    <t>Andrés Fantoni Baldeón</t>
  </si>
  <si>
    <t>Santa Prisca 425 entre Vargas y Pasaje Ibarra, Edificio Centenario, Quito, Ecuador</t>
  </si>
  <si>
    <t>afantoni@cpccs.gob.ec</t>
  </si>
  <si>
    <t>https://www.cpccs.gob.ec/</t>
  </si>
  <si>
    <t>677</t>
  </si>
  <si>
    <t>Defensoría del Pueblo</t>
  </si>
  <si>
    <t>Ab. César Marcel Córdova Valverde</t>
  </si>
  <si>
    <t>Defensor del Pueblo de Ecuador</t>
  </si>
  <si>
    <t>Av. 12 de Octubre 16-114 y Pasaje Nicolás Jiménez, Quito, Ecuador</t>
  </si>
  <si>
    <t xml:space="preserve">	cesar.cordova@dpe.gob.ec; iliana.perdomo@dpe.gob.ec</t>
  </si>
  <si>
    <t>https://www.dpe.gob.ec/</t>
  </si>
  <si>
    <t>678</t>
  </si>
  <si>
    <t>Autoridad Portuaria de Guayaquil</t>
  </si>
  <si>
    <t>Mgs. Yaqueline Asinc Lucero</t>
  </si>
  <si>
    <t>Av. de la Marina y Puerto Marítimo, Guayaquil, Ecuador</t>
  </si>
  <si>
    <t>controlgestion@apg.gob.ec</t>
  </si>
  <si>
    <t>https://www.puertodeguayaquil.gob.ec/</t>
  </si>
  <si>
    <t>679</t>
  </si>
  <si>
    <t>Subsecretaria de Puertos y Transporte Marítimo y Fluvial</t>
  </si>
  <si>
    <t>Abg. Bryan Andrade Álvarez</t>
  </si>
  <si>
    <t>Subsecretario</t>
  </si>
  <si>
    <t>Edificio Grace (EP Petroecuador), Av. del Bombero y Leopoldo Carrera, Cdla. Los Ceibos, Guayaquil, Ecuador</t>
  </si>
  <si>
    <t>bandrade@mit.gob.ec</t>
  </si>
  <si>
    <t>https://www.mit.gob.ec/puertos-y-transporte-maritimo-y-fluvial/</t>
  </si>
  <si>
    <t>680</t>
  </si>
  <si>
    <t>Escuela de la Mercante Nacional (ESMENA)</t>
  </si>
  <si>
    <t>Comandante Fernando Donoso</t>
  </si>
  <si>
    <t>Director</t>
  </si>
  <si>
    <t>Av. Pedro Menéndez Gilbert, junto al Puente de la Unidad Nacional, Base Naval Norte, Guayaquil, Ecuador</t>
  </si>
  <si>
    <t>info@esmena.edu.ec / consultas@esmena.edu,ec</t>
  </si>
  <si>
    <t>https://esmena.edu.ec/</t>
  </si>
  <si>
    <t>681</t>
  </si>
  <si>
    <t>Error de tipeo heredado (lista y oficio): dice "Escuela de la Mercante Nacional", debería decir "Escuela de la Marina Mercante Nacional". Además duplica la fila 38 (misma institución, nombre distinto, otro destinatario) - unificar antes de la tanda IR</t>
  </si>
  <si>
    <t>Corporación Financiera Nacional (CFN)</t>
  </si>
  <si>
    <t>Econ. Maricela Benites L.</t>
  </si>
  <si>
    <t>Av. 9 de Octubre 200 y Pichincha, Guayaquil, Ecuador (Matriz)</t>
  </si>
  <si>
    <t>rmolina@cfn.fin.ec ,mbenites@cfn.fin.ec</t>
  </si>
  <si>
    <t>https://www.cfn.fin.ec/</t>
  </si>
  <si>
    <t>682</t>
  </si>
  <si>
    <t>Escuela de la Marina Mercante Nacional (ESMENA)</t>
  </si>
  <si>
    <t>Msc. Sandra Asanza</t>
  </si>
  <si>
    <t>Docente de formación y perfeccionamiento</t>
  </si>
  <si>
    <t>asanzavalenciasandra@gmail.com</t>
  </si>
  <si>
    <t>Pendiente: firma IR. Posible institución duplicada con fila 36 (Escuela de la Mercante/Marina Mercante Nacional - ESMENA) con otro destinatario</t>
  </si>
  <si>
    <t>Tecnológico Universitario Espíritu Santo (TES)</t>
  </si>
  <si>
    <t>Tecnológico</t>
  </si>
  <si>
    <t>Lcda. Maritza Salazar, MSc</t>
  </si>
  <si>
    <t>Invitación Universidad</t>
  </si>
  <si>
    <t>Rectora</t>
  </si>
  <si>
    <t>Av. Juan Tanca Marengo Km 2.5 y Av. Las Aguas, Guayaquil, Ecuador</t>
  </si>
  <si>
    <t>info@tes.edu.ec, pnunez@tes.edu.ec, tespin@tes.edu.ec, jespinoza2@tes.edu.ec | 04 380-4810</t>
  </si>
  <si>
    <t>https://www.tes.edu.ec/</t>
  </si>
  <si>
    <t>645</t>
  </si>
  <si>
    <t>Instituto Tecnológico Superior Guayaquil</t>
  </si>
  <si>
    <t>Ec. Freddy Torres</t>
  </si>
  <si>
    <t>Machala y Gómez Rendón, Guayaquil, Ecuador</t>
  </si>
  <si>
    <t>secretaria@istg.edu.ec</t>
  </si>
  <si>
    <t>https://www.istdg.edu.ec/</t>
  </si>
  <si>
    <t>Instituto Tecnológico Superior Simón Bolivar</t>
  </si>
  <si>
    <t>Av. de las Américas S/N y Ernesto Noboa y Caamaño, Guayaquil, Ecuador</t>
  </si>
  <si>
    <t>secretaria@istsb.edu.ec</t>
  </si>
  <si>
    <t>https://istsb.edu.ec/</t>
  </si>
  <si>
    <t>Instituto Superior Universitario Bolivariano de Tecnología (ITB)</t>
  </si>
  <si>
    <t>Ph.D. Elena Tolozano Benites</t>
  </si>
  <si>
    <t>Víctor Manuel Rendón 236 y Pedro Carbo, Guayaquil, Ecuador</t>
  </si>
  <si>
    <t>info@bolivariano.edu.ec | 1800-482-482</t>
  </si>
  <si>
    <t>https://itb.edu.ec/</t>
  </si>
  <si>
    <t>646</t>
  </si>
  <si>
    <t xml:space="preserve">Universidad Técnica de Manabí                                                               </t>
  </si>
  <si>
    <t>Universidad</t>
  </si>
  <si>
    <t>Dr. Santiago Quiroz Fernández</t>
  </si>
  <si>
    <t>Av. José María Urbina y Che Guevara</t>
  </si>
  <si>
    <t>rectorado@utm.edu.ec</t>
  </si>
  <si>
    <t>https://www.utm.edu.ec/</t>
  </si>
  <si>
    <t>647</t>
  </si>
  <si>
    <t xml:space="preserve">Universidad Estatal del Sur de Manabí                                                        </t>
  </si>
  <si>
    <t>Ph.D. Blanca Soledad Indacochea Ganchozo</t>
  </si>
  <si>
    <t>Km 1 ½ vía a Jipijapa – Noboa, Campus de los Ángeles</t>
  </si>
  <si>
    <t>blanca.indacochea@unesum.edu.ec</t>
  </si>
  <si>
    <t>https://www.unesum.edu.ec/</t>
  </si>
  <si>
    <t>648</t>
  </si>
  <si>
    <t xml:space="preserve">Escuela Superior Politecnica Agropécuaria de Manabí - Manuel Félix López       </t>
  </si>
  <si>
    <t>Ing. Angel Guillermo Félix Mendoza, Ph.D</t>
  </si>
  <si>
    <t>Calle 10 de Agosto No. 82 y Granda Centeno</t>
  </si>
  <si>
    <t>rectorado@espam.edu.ec</t>
  </si>
  <si>
    <t>https://www.espam.edu.ec/</t>
  </si>
  <si>
    <t>649</t>
  </si>
  <si>
    <t>Error de tipeo heredado (lista y oficio): dice "Politecnica Agropécuaria", debería decir "Politécnica Agropecuaria"</t>
  </si>
  <si>
    <t xml:space="preserve">Universidad Laica "Eloy Alfaro" de Manabí                            </t>
  </si>
  <si>
    <t>Dr. Marcos Tulio Zambrano Zambrano</t>
  </si>
  <si>
    <t>Invitación Universidad/Expositor</t>
  </si>
  <si>
    <t>Vía a San Mateo, Cdla. Universitaria</t>
  </si>
  <si>
    <t>rectorado.uleam@uleam.edu.ec</t>
  </si>
  <si>
    <t>https://www.uleam.edu.ec/</t>
  </si>
  <si>
    <t>650, 642</t>
  </si>
  <si>
    <t>ATENCIÓN: se emitieron 2 oficios a rectores distintos para la misma institución: 650 (Marcos Tulio Zambrano Zambrano, Rector - coincide con esta fila) y 642/expositor (Jackeline Terranova Ruiz, Rectora - no está en esta lista). Verificar quién es el rector vigente</t>
  </si>
  <si>
    <t>Universidad Tecnológica Empresarial de Guayaquil (UTEG)</t>
  </si>
  <si>
    <t>Ing. Mara Cabanilla Guerra, Ph.D.
Econ. Galo Cabanilla Guerra, Ph.D.</t>
  </si>
  <si>
    <t>Av. del Bombero, km 6 1/2</t>
  </si>
  <si>
    <t>relacionesinternacionales@uteg.edu.ec, dyepez@uteg.edu.ec,
info.relacionesinternacionales@uteg.edu.ec</t>
  </si>
  <si>
    <t>https://www.uteg.edu.ec/</t>
  </si>
  <si>
    <t>644</t>
  </si>
  <si>
    <t>Solo se generó oficio de expositor (644) a nombre de Mara Cabanilla Guerra. Falta el oficio de invitación universidad y no se generó oficio para el segundo destinatario de esta fila (Galo Cabanilla Guerra)</t>
  </si>
  <si>
    <t>Universidad UTE Manabí</t>
  </si>
  <si>
    <t>Dr. Daniele Rocchio</t>
  </si>
  <si>
    <t>Km 3.5 via Montecristi – Jaramijó diagonal a Urbanización Santa Cruz</t>
  </si>
  <si>
    <t>utemanabi@ute.edu.ec</t>
  </si>
  <si>
    <t>https://www.ute.edu.ec/</t>
  </si>
  <si>
    <t>651</t>
  </si>
  <si>
    <t>Universidad de Guayaquil</t>
  </si>
  <si>
    <t>Francisco Lenin Morán Peña</t>
  </si>
  <si>
    <t>Cdla. Universitaria – Malecón del Salado entre Av. Delta s/n y Av. Kennedy, Guayaquil</t>
  </si>
  <si>
    <t>lenin.moranp@ug.edu.ec (593-4) 228-4505 / 228-7258 | ug.edu.ec</t>
  </si>
  <si>
    <t>https://www.ug.edu.ec/</t>
  </si>
  <si>
    <t>652</t>
  </si>
  <si>
    <t>ESPOL – Escuela Superior Politécnica del Litoral</t>
  </si>
  <si>
    <t>Cecilia Paredes Verduga</t>
  </si>
  <si>
    <t>Campus Politécnico Gustavo Galindo, Km. 30.5 Vía Perimetral, Guayaquil</t>
  </si>
  <si>
    <t>comunicacion@espol.edu.ec, despacho@espol.edu.ec, rectora@espol.edu.ec , Anabel Reyes Asistente de rectorado ext 1104</t>
  </si>
  <si>
    <t>https://www.espol.edu.ec/</t>
  </si>
  <si>
    <t>641, 653</t>
  </si>
  <si>
    <t>Correcto: dos oficios (641 expositor, 653 universidad), mismo destinatario</t>
  </si>
  <si>
    <t>Universidad Católica de Santiago de Guayaquil (UCSG)</t>
  </si>
  <si>
    <t>Ing. Walter Mera Ortiz, Ph.D.</t>
  </si>
  <si>
    <t>Av. Carlos Julio Arosemena Km. 1½ Vía Daule, Guayaquil</t>
  </si>
  <si>
    <t>walter.mera@cu.ucsg.edu.ec; elker.mendoza@cu.uscg.edu.ec</t>
  </si>
  <si>
    <t>https://www.ucsg.edu.ec/</t>
  </si>
  <si>
    <t>654</t>
  </si>
  <si>
    <t>Universidad Estatal de Milagro, UNEMI</t>
  </si>
  <si>
    <t>Fabricio Guevara Viejó</t>
  </si>
  <si>
    <t>Cdla. Universitaria “Dr. Rómulo Minchala Murillo” – km. 1.5 vía Milagro – Virgen de Fátima; Milagro</t>
  </si>
  <si>
    <t>rectorado@unemi.edu.ec; investigacion@unemi.edu.ec</t>
  </si>
  <si>
    <t>https://www.unemi.edu.ec/</t>
  </si>
  <si>
    <t>Correo facilitado por Gabriela Bustos</t>
  </si>
  <si>
    <t>655</t>
  </si>
  <si>
    <t>Escuela Superior Politécnica de Chimborazo (ESPOCH)</t>
  </si>
  <si>
    <t xml:space="preserve">	Byron Vaca, Ph.D.</t>
  </si>
  <si>
    <t>Panamericana Sur Km 1 1/2, Riobamba, Ecuador</t>
  </si>
  <si>
    <t>info@espoch.edu.ec</t>
  </si>
  <si>
    <t>https://www.espoch.edu.ec/</t>
  </si>
  <si>
    <t>656</t>
  </si>
  <si>
    <t>Universidad Nacional de Chimborazo (UNACH)</t>
  </si>
  <si>
    <t>Dra. Myriam Murillo Naranjo</t>
  </si>
  <si>
    <t>Av. Antonio José de Sucre Km 1 1/2 vía a Guano, Riobamba, Ecuador</t>
  </si>
  <si>
    <t>contactos@unach.edu.ec</t>
  </si>
  <si>
    <t>https://www.unach.edu.ec/</t>
  </si>
  <si>
    <t>657</t>
  </si>
  <si>
    <t>Universidad Agraria del Ecuador (UAE)</t>
  </si>
  <si>
    <t>Econ. Patricio Rigoberto Álvarez Muñoz, PhD.</t>
  </si>
  <si>
    <t>Av. 25 de Julio a lado del riocentro sur, Guayaquil</t>
  </si>
  <si>
    <t>(593-4) 243-9995 / 243-9394 | info@uagraria.edu.ec</t>
  </si>
  <si>
    <t>https://www.uagraria.edu.ec/</t>
  </si>
  <si>
    <t>658</t>
  </si>
  <si>
    <t>Universidad ECOTEC</t>
  </si>
  <si>
    <t>Joaquín Hernández Alvarado, PhD.</t>
  </si>
  <si>
    <t>Vía Samborondón Km 13.5, Samborondón, Ecuador</t>
  </si>
  <si>
    <t>contactcenter@ecotec.edu.ec</t>
  </si>
  <si>
    <t>https://ecotec.edu.ec/</t>
  </si>
  <si>
    <t>659</t>
  </si>
  <si>
    <t>Universidad Espíritu Santo UEES</t>
  </si>
  <si>
    <t>Isidro Fierro Ulloa, PhD.</t>
  </si>
  <si>
    <t>Km. 2,5 vía a Samborondón (La Puntilla), Samborondón, Ecuador</t>
  </si>
  <si>
    <t>admisiones@uees.edu.ec</t>
  </si>
  <si>
    <t>https://www.uees.edu.ec/</t>
  </si>
  <si>
    <t>660</t>
  </si>
  <si>
    <t>Universidad Politécnica Salesiana UPS</t>
  </si>
  <si>
    <t>P. Juan Cárdenas Tapia, sdb, PhD.</t>
  </si>
  <si>
    <t>Robles 107 y Chambers, Guayaquil, Ecuador</t>
  </si>
  <si>
    <t>admisionesgye@ups.edu.ec</t>
  </si>
  <si>
    <t>https://www.ups.edu.ec/</t>
  </si>
  <si>
    <t>661</t>
  </si>
  <si>
    <t>Universidad Técnica Particular de Loja UTPL</t>
  </si>
  <si>
    <t>Ph.D. Santiago Acosta Aide</t>
  </si>
  <si>
    <t>Calle Marcelino Champagnat s/n (Barrio San Cayetano Alto)</t>
  </si>
  <si>
    <t>informacion@utpl.edu.ec ; informacioncrg@utpl.edu.ec; diego.ochoa@utpl.edu.ec</t>
  </si>
  <si>
    <t>https://www.utpl.edu.ec/</t>
  </si>
  <si>
    <t>CC A DIEGO OCHOA  (Sede Guayaquil)</t>
  </si>
  <si>
    <t>662</t>
  </si>
  <si>
    <t>Universidad Bolivariana del Ecuador (UBE)</t>
  </si>
  <si>
    <t>Ph.D. Roberto Tolozano Benites</t>
  </si>
  <si>
    <t>Km 5 1/2 vía Durán - Yaguachi, Durán, Ecuador</t>
  </si>
  <si>
    <t>info@ube.edu.ec</t>
  </si>
  <si>
    <t>https://ube.edu.ec/</t>
  </si>
  <si>
    <t>663</t>
  </si>
  <si>
    <t>Municipio de Salinas</t>
  </si>
  <si>
    <t>Ing. Dennis Córdova Secaira</t>
  </si>
  <si>
    <t>Alcalde</t>
  </si>
  <si>
    <t>Av. Eloy Alfaro, Salinas, Santa Elena, Ecuador</t>
  </si>
  <si>
    <t>ialvarado@salinas.gob.ec</t>
  </si>
  <si>
    <t>https://www.salinas.gob.ec/</t>
  </si>
  <si>
    <t>683</t>
  </si>
  <si>
    <t>Servicio Ecuatoriano de Capacitación Profesional - SECAP</t>
  </si>
  <si>
    <t>Mgs. Kerlly Moscoso Gavilanez</t>
  </si>
  <si>
    <t>DIRECTORA ZONAL 5</t>
  </si>
  <si>
    <t>Av. Quito 713 y 1ero de Mayo, Edificio Ministerio de Trabajo, piso 9, Guayaquil, Ecuador</t>
  </si>
  <si>
    <t>k.moscoso@secap.gob.ec</t>
  </si>
  <si>
    <t>https://www.secap.gob.ec/</t>
  </si>
  <si>
    <t xml:space="preserve">Ministerio de Trabajo y Desarrollo Humano </t>
  </si>
  <si>
    <t>Mgs. Cynthia Gellibert Mora</t>
  </si>
  <si>
    <t>República del Salvador Nro. 34-183 y Suiza, Quito, Ecuador</t>
  </si>
  <si>
    <t>cynthia_gellibert@trabajo.gob.ec</t>
  </si>
  <si>
    <t>https://www.trabajo.gob.ec/</t>
  </si>
  <si>
    <t>(antes MIES)</t>
  </si>
  <si>
    <t>684</t>
  </si>
  <si>
    <t>Discordancia de género en oficio y lista: dice "Señora Cynthia Gellibert Mora / MINISTRO", debería decir "Ministra"</t>
  </si>
  <si>
    <t>BAN Ecuador</t>
  </si>
  <si>
    <t>Econ. Jonatan León</t>
  </si>
  <si>
    <t>Av. Río Amazonas y Unión Nacional de Periodistas, Plataforma Gubernamental de Gestión Financiera, Quito, Ecuador</t>
  </si>
  <si>
    <t>Jonatan.Leon@banecuador.fin.ec</t>
  </si>
  <si>
    <t>https://www.banecuador.fin.ec/</t>
  </si>
  <si>
    <t>685</t>
  </si>
  <si>
    <t>Instituto Técnico American School</t>
  </si>
  <si>
    <t>Phd. John Tobar Litardo</t>
  </si>
  <si>
    <t>Facultad de Ciencias Económicas de la Universidad de Guayaquil</t>
  </si>
  <si>
    <t>Ec. René Aguilar Azuero, Msc</t>
  </si>
  <si>
    <t>Decano</t>
  </si>
  <si>
    <t>Facultad de Jurisprudencia, Ciencias Sociales y Políticas de la Universidad de Guayaquil</t>
  </si>
  <si>
    <t>Ab. Elvis Fuentes Tenorio, Mgs.</t>
  </si>
  <si>
    <t>Facultad de Ciencias Administrativas de la Universidad de Guayaquil</t>
  </si>
  <si>
    <t>Mgs. Johanna Rangel Saltos</t>
  </si>
  <si>
    <t>Decano Economia y empresariales UCSG</t>
  </si>
  <si>
    <t>Ph.D. María Auxiliadora Guzmán Segovia</t>
  </si>
  <si>
    <t>Decano Derecho UCSG</t>
  </si>
  <si>
    <t>Doctor Xavier Zavala Egas</t>
  </si>
  <si>
    <t>UPSE</t>
  </si>
  <si>
    <t>Invitación Expositor</t>
  </si>
  <si>
    <t>643</t>
  </si>
  <si>
    <t>Faltan datos en esta lista: Destinatario oficio, Cargo y Correo electrónico están vacíos. El oficio 643 sí los trae: Néstor Acosta Lozano, Rector, wtoro@upse.edu.ec / lorralas@upse.edu.ec. Completar la fila</t>
  </si>
  <si>
    <t>Nota: 2 de sept Oficios para expositores se envía en una tanda siguiente, por ahora solo invitaciones generales e invitaciones universidades</t>
  </si>
  <si>
    <t>IR (5)</t>
  </si>
  <si>
    <t>mesa tecnica</t>
  </si>
  <si>
    <t>5-6 por persona</t>
  </si>
  <si>
    <t>Conteo</t>
  </si>
  <si>
    <t>(Sin asignar)</t>
  </si>
  <si>
    <t>Total</t>
  </si>
  <si>
    <t>Observaciones cruce de listado vs oficios generados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</si>
</sst>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3" fillId="3" borderId="1" xfId="1" applyFill="1" applyBorder="1"/>
    <xf numFmtId="0" fontId="3" fillId="2" borderId="1" xfId="1" applyFill="1" applyBorder="1" applyAlignment="1">
      <alignment horizontal="center" vertical="center"/>
    </xf>
    <xf numFmtId="0" fontId="3" fillId="3" borderId="1" xfId="1" applyFill="1" applyBorder="1" applyAlignment="1">
      <alignment horizontal="center" vertical="center"/>
    </xf>
    <xf numFmtId="0" fontId="3" fillId="2" borderId="1" xfId="1" applyFill="1" applyBorder="1"/>
    <xf numFmtId="0" fontId="3" fillId="0" borderId="1" xfId="1" applyBorder="1"/>
    <xf numFmtId="0" fontId="0" fillId="0" borderId="0" xfId="0" quotePrefix="1" applyAlignment="1">
      <alignment vertical="center"/>
    </xf>
    <xf numFmtId="0" fontId="3" fillId="0" borderId="0" xfId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3" xfId="0" applyBorder="1"/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bandrade@mit.gob.ec" TargetMode="External"/><Relationship Id="rId18" Type="http://schemas.openxmlformats.org/officeDocument/2006/relationships/hyperlink" Target="mailto:salome.rosales@sce.gob.ec" TargetMode="External"/><Relationship Id="rId26" Type="http://schemas.openxmlformats.org/officeDocument/2006/relationships/hyperlink" Target="mailto:salome.rosales@sce.gob.ec" TargetMode="External"/><Relationship Id="rId39" Type="http://schemas.openxmlformats.org/officeDocument/2006/relationships/hyperlink" Target="mailto:salome.rosales@sce.gob.ec" TargetMode="External"/><Relationship Id="rId21" Type="http://schemas.openxmlformats.org/officeDocument/2006/relationships/hyperlink" Target="mailto:salome.rosales@sce.gob.ec" TargetMode="External"/><Relationship Id="rId34" Type="http://schemas.openxmlformats.org/officeDocument/2006/relationships/hyperlink" Target="mailto:salome.rosales@sce.gob.ec" TargetMode="External"/><Relationship Id="rId42" Type="http://schemas.openxmlformats.org/officeDocument/2006/relationships/hyperlink" Target="mailto:salome.rosales@sce.gob.ec" TargetMode="External"/><Relationship Id="rId47" Type="http://schemas.openxmlformats.org/officeDocument/2006/relationships/hyperlink" Target="mailto:informacion@utpl.edu.ec" TargetMode="External"/><Relationship Id="rId50" Type="http://schemas.openxmlformats.org/officeDocument/2006/relationships/hyperlink" Target="mailto:salome.rosales@sce.gob.ec" TargetMode="External"/><Relationship Id="rId55" Type="http://schemas.openxmlformats.org/officeDocument/2006/relationships/hyperlink" Target="mailto:cynthia_gellibert@trabajo.gob.ec" TargetMode="External"/><Relationship Id="rId7" Type="http://schemas.openxmlformats.org/officeDocument/2006/relationships/hyperlink" Target="mailto:salome.rosales@sce.gob.ec" TargetMode="External"/><Relationship Id="rId2" Type="http://schemas.openxmlformats.org/officeDocument/2006/relationships/hyperlink" Target="mailto:cquispeb@vitapro.com.ec" TargetMode="External"/><Relationship Id="rId16" Type="http://schemas.openxmlformats.org/officeDocument/2006/relationships/hyperlink" Target="mailto:salome.rosales@sce.gob.ec" TargetMode="External"/><Relationship Id="rId29" Type="http://schemas.openxmlformats.org/officeDocument/2006/relationships/hyperlink" Target="mailto:salome.rosales@sce.gob.ec" TargetMode="External"/><Relationship Id="rId11" Type="http://schemas.openxmlformats.org/officeDocument/2006/relationships/hyperlink" Target="mailto:controlgestion@apg.gob.ec" TargetMode="External"/><Relationship Id="rId24" Type="http://schemas.openxmlformats.org/officeDocument/2006/relationships/hyperlink" Target="mailto:secretaria@istsb.edu.ec" TargetMode="External"/><Relationship Id="rId32" Type="http://schemas.openxmlformats.org/officeDocument/2006/relationships/hyperlink" Target="mailto:salome.rosales@sce.gob.ec" TargetMode="External"/><Relationship Id="rId37" Type="http://schemas.openxmlformats.org/officeDocument/2006/relationships/hyperlink" Target="mailto:walter.mera@cu.ucsg.edu.ec" TargetMode="External"/><Relationship Id="rId40" Type="http://schemas.openxmlformats.org/officeDocument/2006/relationships/hyperlink" Target="mailto:salome.rosales@sce.gob.ec" TargetMode="External"/><Relationship Id="rId45" Type="http://schemas.openxmlformats.org/officeDocument/2006/relationships/hyperlink" Target="mailto:salome.rosales@sce.gob.ec" TargetMode="External"/><Relationship Id="rId53" Type="http://schemas.openxmlformats.org/officeDocument/2006/relationships/hyperlink" Target="mailto:k.moscoso@secap.gob.ec" TargetMode="External"/><Relationship Id="rId58" Type="http://schemas.openxmlformats.org/officeDocument/2006/relationships/hyperlink" Target="mailto:salome.rosales@sce.gob.ec" TargetMode="External"/><Relationship Id="rId5" Type="http://schemas.openxmlformats.org/officeDocument/2006/relationships/hyperlink" Target="mailto:avnavarrete@sri.gob.ec" TargetMode="External"/><Relationship Id="rId19" Type="http://schemas.openxmlformats.org/officeDocument/2006/relationships/hyperlink" Target="mailto:asanzavalenciasandra@gmail.com" TargetMode="External"/><Relationship Id="rId4" Type="http://schemas.openxmlformats.org/officeDocument/2006/relationships/hyperlink" Target="mailto:comunicacion@agrocalidad.gob.ec" TargetMode="External"/><Relationship Id="rId9" Type="http://schemas.openxmlformats.org/officeDocument/2006/relationships/hyperlink" Target="mailto:salome.rosales@sce.gob.ec" TargetMode="External"/><Relationship Id="rId14" Type="http://schemas.openxmlformats.org/officeDocument/2006/relationships/hyperlink" Target="mailto:salome.rosales@sce.gob.ec" TargetMode="External"/><Relationship Id="rId22" Type="http://schemas.openxmlformats.org/officeDocument/2006/relationships/hyperlink" Target="mailto:secretaria@istg.edu.ec" TargetMode="External"/><Relationship Id="rId27" Type="http://schemas.openxmlformats.org/officeDocument/2006/relationships/hyperlink" Target="mailto:salome.rosales@sce.gob.ec" TargetMode="External"/><Relationship Id="rId30" Type="http://schemas.openxmlformats.org/officeDocument/2006/relationships/hyperlink" Target="mailto:salome.rosales@sce.gob.ec" TargetMode="External"/><Relationship Id="rId35" Type="http://schemas.openxmlformats.org/officeDocument/2006/relationships/hyperlink" Target="mailto:comunicacion@espol.edu.ec" TargetMode="External"/><Relationship Id="rId43" Type="http://schemas.openxmlformats.org/officeDocument/2006/relationships/hyperlink" Target="mailto:contactcenter@ecotec.edu.ec" TargetMode="External"/><Relationship Id="rId48" Type="http://schemas.openxmlformats.org/officeDocument/2006/relationships/hyperlink" Target="mailto:salome.rosales@sce.gob.ec" TargetMode="External"/><Relationship Id="rId56" Type="http://schemas.openxmlformats.org/officeDocument/2006/relationships/hyperlink" Target="mailto:salome.rosales@sce.gob.ec" TargetMode="External"/><Relationship Id="rId8" Type="http://schemas.openxmlformats.org/officeDocument/2006/relationships/hyperlink" Target="mailto:afantoni@cpccs.gob.ec" TargetMode="External"/><Relationship Id="rId51" Type="http://schemas.openxmlformats.org/officeDocument/2006/relationships/hyperlink" Target="mailto:ialvarado@salinas.gob.ec" TargetMode="External"/><Relationship Id="rId3" Type="http://schemas.openxmlformats.org/officeDocument/2006/relationships/hyperlink" Target="mailto:juan.tandazo@ieps.gob.ec" TargetMode="External"/><Relationship Id="rId12" Type="http://schemas.openxmlformats.org/officeDocument/2006/relationships/hyperlink" Target="mailto:salome.rosales@sce.gob.ec" TargetMode="External"/><Relationship Id="rId17" Type="http://schemas.openxmlformats.org/officeDocument/2006/relationships/hyperlink" Target="mailto:rmolina@cfn.fin.ec%20,mbenites@cfn.fin.ec" TargetMode="External"/><Relationship Id="rId25" Type="http://schemas.openxmlformats.org/officeDocument/2006/relationships/hyperlink" Target="mailto:salome.rosales@sce.gob.ec" TargetMode="External"/><Relationship Id="rId33" Type="http://schemas.openxmlformats.org/officeDocument/2006/relationships/hyperlink" Target="mailto:lenin.moranp@ug.edu.ec%20(593-4)%20228-4505%20/%20228-7258%20%7C%20ug.edu.ec" TargetMode="External"/><Relationship Id="rId38" Type="http://schemas.openxmlformats.org/officeDocument/2006/relationships/hyperlink" Target="mailto:salome.rosales@sce.gob.ec" TargetMode="External"/><Relationship Id="rId46" Type="http://schemas.openxmlformats.org/officeDocument/2006/relationships/hyperlink" Target="mailto:salome.rosales@sce.gob.ec" TargetMode="External"/><Relationship Id="rId59" Type="http://schemas.openxmlformats.org/officeDocument/2006/relationships/vmlDrawing" Target="../drawings/vmlDrawing1.vml"/><Relationship Id="rId20" Type="http://schemas.openxmlformats.org/officeDocument/2006/relationships/hyperlink" Target="mailto:salome.rosales@sce.gob.ec" TargetMode="External"/><Relationship Id="rId41" Type="http://schemas.openxmlformats.org/officeDocument/2006/relationships/hyperlink" Target="mailto:salome.rosales@sce.gob.ec" TargetMode="External"/><Relationship Id="rId54" Type="http://schemas.openxmlformats.org/officeDocument/2006/relationships/hyperlink" Target="mailto:salome.rosales@sce.gob.ec" TargetMode="External"/><Relationship Id="rId1" Type="http://schemas.openxmlformats.org/officeDocument/2006/relationships/hyperlink" Target="mailto:cquispeb@vitapro.com.ec" TargetMode="External"/><Relationship Id="rId6" Type="http://schemas.openxmlformats.org/officeDocument/2006/relationships/hyperlink" Target="mailto:comunicacion_gye@supercias.gob.ec,lcabezask@supercias.gob.ec%20,mrosalesf@supercias.gob.ec%20|%20(04)%20372-8500" TargetMode="External"/><Relationship Id="rId15" Type="http://schemas.openxmlformats.org/officeDocument/2006/relationships/hyperlink" Target="mailto:insc_emp_pn@esmena.edu.ec" TargetMode="External"/><Relationship Id="rId23" Type="http://schemas.openxmlformats.org/officeDocument/2006/relationships/hyperlink" Target="mailto:salome.rosales@sce.gob.ec" TargetMode="External"/><Relationship Id="rId28" Type="http://schemas.openxmlformats.org/officeDocument/2006/relationships/hyperlink" Target="mailto:salome.rosales@sce.gob.ec" TargetMode="External"/><Relationship Id="rId36" Type="http://schemas.openxmlformats.org/officeDocument/2006/relationships/hyperlink" Target="mailto:salome.rosales@sce.gob.ec" TargetMode="External"/><Relationship Id="rId49" Type="http://schemas.openxmlformats.org/officeDocument/2006/relationships/hyperlink" Target="mailto:info@ube.edu.ec" TargetMode="External"/><Relationship Id="rId57" Type="http://schemas.openxmlformats.org/officeDocument/2006/relationships/hyperlink" Target="mailto:Jonatan.Leon@banecuador.fin.ec" TargetMode="External"/><Relationship Id="rId10" Type="http://schemas.openxmlformats.org/officeDocument/2006/relationships/hyperlink" Target="mailto:salome.rosales@sce.gob.ec" TargetMode="External"/><Relationship Id="rId31" Type="http://schemas.openxmlformats.org/officeDocument/2006/relationships/hyperlink" Target="mailto:salome.rosales@sce.gob.ec" TargetMode="External"/><Relationship Id="rId44" Type="http://schemas.openxmlformats.org/officeDocument/2006/relationships/hyperlink" Target="mailto:salome.rosales@sce.gob.ec" TargetMode="External"/><Relationship Id="rId52" Type="http://schemas.openxmlformats.org/officeDocument/2006/relationships/hyperlink" Target="mailto:salome.rosales@sce.gob.ec" TargetMode="External"/><Relationship Id="rId60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6"/>
  <sheetViews>
    <sheetView tabSelected="1" zoomScaleNormal="85" workbookViewId="0">
      <pane xSplit="2" ySplit="2" topLeftCell="P3" activePane="bottomRight" state="frozen"/>
      <selection pane="topRight" activeCell="C1" sqref="C1"/>
      <selection pane="bottomLeft" activeCell="A3" sqref="A3"/>
      <selection pane="bottomRight" activeCell="B16" sqref="B16"/>
    </sheetView>
  </sheetViews>
  <sheetFormatPr baseColWidth="10" defaultColWidth="22" defaultRowHeight="14.4" x14ac:dyDescent="0.3"/>
  <cols>
    <col min="1" max="1" width="3.5546875" style="4" customWidth="1"/>
    <col min="2" max="2" width="77.33203125" style="11" bestFit="1" customWidth="1"/>
    <col min="3" max="3" width="20.77734375" style="4" bestFit="1" customWidth="1"/>
    <col min="4" max="4" width="33.77734375" style="8" customWidth="1"/>
    <col min="5" max="5" width="14.33203125" style="4" bestFit="1" customWidth="1"/>
    <col min="6" max="6" width="23.77734375" style="4" customWidth="1"/>
    <col min="7" max="7" width="18.6640625" style="3" customWidth="1"/>
    <col min="8" max="8" width="12.44140625" style="3" customWidth="1"/>
    <col min="9" max="9" width="13.33203125" style="4" customWidth="1"/>
    <col min="10" max="10" width="13" style="4" customWidth="1"/>
    <col min="11" max="11" width="15.77734375" style="4" customWidth="1"/>
    <col min="12" max="12" width="22" style="3" customWidth="1"/>
    <col min="13" max="13" width="42" customWidth="1"/>
    <col min="14" max="15" width="30" customWidth="1"/>
    <col min="16" max="16" width="31.5546875" style="4" customWidth="1"/>
    <col min="17" max="17" width="22" style="4" customWidth="1"/>
    <col min="18" max="19" width="22" style="4"/>
    <col min="20" max="20" width="14" customWidth="1"/>
    <col min="21" max="21" width="70" customWidth="1"/>
    <col min="22" max="16384" width="22" style="4"/>
  </cols>
  <sheetData>
    <row r="1" spans="1:21" x14ac:dyDescent="0.3">
      <c r="A1" s="3"/>
      <c r="B1" s="41" t="s">
        <v>0</v>
      </c>
      <c r="C1" s="42"/>
      <c r="D1" s="43"/>
      <c r="E1" s="42"/>
      <c r="F1" s="42"/>
      <c r="G1" s="44"/>
      <c r="I1" s="3"/>
      <c r="J1" s="39" t="s">
        <v>1</v>
      </c>
      <c r="K1" s="40"/>
    </row>
    <row r="2" spans="1:21" ht="28.8" customHeight="1" x14ac:dyDescent="0.3">
      <c r="A2" s="3" t="s">
        <v>2</v>
      </c>
      <c r="B2" s="7" t="s">
        <v>3</v>
      </c>
      <c r="C2" s="5" t="s">
        <v>4</v>
      </c>
      <c r="D2" s="7" t="s">
        <v>5</v>
      </c>
      <c r="E2" s="5" t="s">
        <v>6</v>
      </c>
      <c r="F2" s="5" t="s">
        <v>7</v>
      </c>
      <c r="G2" s="5" t="s">
        <v>8</v>
      </c>
      <c r="H2" s="7" t="s">
        <v>9</v>
      </c>
      <c r="I2" s="6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12" t="s">
        <v>17</v>
      </c>
      <c r="Q2" s="4" t="s">
        <v>18</v>
      </c>
      <c r="R2" s="4" t="s">
        <v>19</v>
      </c>
      <c r="S2" s="4" t="s">
        <v>20</v>
      </c>
      <c r="T2" s="7" t="s">
        <v>21</v>
      </c>
      <c r="U2" s="7" t="s">
        <v>433</v>
      </c>
    </row>
    <row r="3" spans="1:21" x14ac:dyDescent="0.3">
      <c r="A3" s="13">
        <f t="shared" ref="A3:A34" si="0">ROW()-ROW($A$2)</f>
        <v>1</v>
      </c>
      <c r="B3" s="26" t="s">
        <v>22</v>
      </c>
      <c r="C3" s="15" t="s">
        <v>23</v>
      </c>
      <c r="D3" s="14" t="s">
        <v>24</v>
      </c>
      <c r="E3" s="13" t="s">
        <v>25</v>
      </c>
      <c r="F3" s="13"/>
      <c r="G3" s="13" t="s">
        <v>26</v>
      </c>
      <c r="H3" s="13" t="s">
        <v>27</v>
      </c>
      <c r="I3" s="13"/>
      <c r="J3" s="13"/>
      <c r="K3" s="13"/>
      <c r="L3" s="13" t="s">
        <v>28</v>
      </c>
      <c r="M3" s="13" t="s">
        <v>29</v>
      </c>
      <c r="N3" s="13" t="s">
        <v>30</v>
      </c>
      <c r="O3" s="13" t="s">
        <v>31</v>
      </c>
      <c r="P3" s="9"/>
      <c r="Q3" s="4" t="str">
        <f t="shared" ref="Q3:Q30" si="1">IF(H3="Milka","Ing. Milka Nazareno",IF(H3="Carlos G","Ab. Carlos García",IF(H3="OTAP","Ab. Cristian Romero",IF(H3="OTAC","Ec. Rosa Morales",IF(H3="Despacho","Ab. Carlos García",IF(H3="Intendente Regional","Ing. Milka Nazareno",""))))))</f>
        <v>Ing. Milka Nazareno</v>
      </c>
      <c r="R3" s="4" t="str">
        <f t="shared" ref="R3:R30" si="2">IF(H3="Milka","0981768984",IF(H3="Carlos G","0996797882",IF(H3="OTAP","0993345666",IF(H3="OTAC","0998290196",IF(H3="Despacho","0996797882",IF(H3="Intendente Regional","0981768984",""))))))</f>
        <v>0981768984</v>
      </c>
      <c r="S3" s="4" t="str">
        <f t="shared" ref="S3:S30" si="3">IF(H3="Milka","milka.nazareno@sce.gob.ec",IF(H3="Carlos G","carlos.garcia@sce.gob.ec",IF(H3="OTAP","cristian.romero@sce.gob.ec",IF(H3="OTAC","rosa.morales@sce.gob.ec",IF(H3="Despacho","carlos.garcia@sce.gob.ec",IF(H3="Intendente Regional","milka.nazareno@sce.gob.ec",""))))))</f>
        <v>milka.nazareno@sce.gob.ec</v>
      </c>
      <c r="T3" s="37"/>
      <c r="U3" s="38" t="s">
        <v>32</v>
      </c>
    </row>
    <row r="4" spans="1:21" x14ac:dyDescent="0.3">
      <c r="A4" s="13">
        <f t="shared" si="0"/>
        <v>2</v>
      </c>
      <c r="B4" s="29" t="s">
        <v>33</v>
      </c>
      <c r="C4" s="13" t="s">
        <v>23</v>
      </c>
      <c r="D4" s="16" t="s">
        <v>34</v>
      </c>
      <c r="E4" s="13" t="s">
        <v>35</v>
      </c>
      <c r="F4" s="13"/>
      <c r="G4" s="13" t="s">
        <v>26</v>
      </c>
      <c r="H4" s="13" t="s">
        <v>36</v>
      </c>
      <c r="I4" s="13"/>
      <c r="J4" s="13"/>
      <c r="K4" s="13"/>
      <c r="L4" s="13" t="s">
        <v>37</v>
      </c>
      <c r="M4" s="13" t="s">
        <v>38</v>
      </c>
      <c r="N4" s="31" t="s">
        <v>39</v>
      </c>
      <c r="O4" s="13" t="s">
        <v>40</v>
      </c>
      <c r="P4" s="9"/>
      <c r="Q4" s="4" t="str">
        <f t="shared" si="1"/>
        <v>Ab. Carlos García</v>
      </c>
      <c r="R4" s="4" t="str">
        <f t="shared" si="2"/>
        <v>0996797882</v>
      </c>
      <c r="S4" s="4" t="str">
        <f t="shared" si="3"/>
        <v>carlos.garcia@sce.gob.ec</v>
      </c>
      <c r="T4" s="37"/>
      <c r="U4" s="38" t="s">
        <v>41</v>
      </c>
    </row>
    <row r="5" spans="1:21" x14ac:dyDescent="0.3">
      <c r="A5" s="13">
        <f t="shared" si="0"/>
        <v>3</v>
      </c>
      <c r="B5" s="29" t="s">
        <v>33</v>
      </c>
      <c r="C5" s="13" t="s">
        <v>23</v>
      </c>
      <c r="D5" s="16" t="s">
        <v>42</v>
      </c>
      <c r="E5" s="13" t="s">
        <v>35</v>
      </c>
      <c r="F5" s="13"/>
      <c r="G5" s="13" t="s">
        <v>26</v>
      </c>
      <c r="H5" s="13" t="s">
        <v>36</v>
      </c>
      <c r="I5" s="13"/>
      <c r="J5" s="13"/>
      <c r="K5" s="13"/>
      <c r="L5" s="13" t="s">
        <v>43</v>
      </c>
      <c r="M5" s="13" t="s">
        <v>38</v>
      </c>
      <c r="N5" s="31" t="s">
        <v>44</v>
      </c>
      <c r="O5" s="13" t="s">
        <v>40</v>
      </c>
      <c r="P5" s="9"/>
      <c r="Q5" s="4" t="str">
        <f t="shared" si="1"/>
        <v>Ab. Carlos García</v>
      </c>
      <c r="R5" s="4" t="str">
        <f t="shared" si="2"/>
        <v>0996797882</v>
      </c>
      <c r="S5" s="4" t="str">
        <f t="shared" si="3"/>
        <v>carlos.garcia@sce.gob.ec</v>
      </c>
      <c r="T5" s="37"/>
      <c r="U5" s="38" t="s">
        <v>41</v>
      </c>
    </row>
    <row r="6" spans="1:21" x14ac:dyDescent="0.3">
      <c r="A6" s="13">
        <f t="shared" si="0"/>
        <v>4</v>
      </c>
      <c r="B6" s="29" t="s">
        <v>45</v>
      </c>
      <c r="C6" s="13" t="s">
        <v>23</v>
      </c>
      <c r="D6" s="16" t="s">
        <v>46</v>
      </c>
      <c r="E6" s="13" t="s">
        <v>35</v>
      </c>
      <c r="F6" s="13"/>
      <c r="G6" s="13" t="s">
        <v>26</v>
      </c>
      <c r="H6" s="13" t="s">
        <v>36</v>
      </c>
      <c r="I6" s="13"/>
      <c r="J6" s="13"/>
      <c r="K6" s="13"/>
      <c r="L6" s="13" t="s">
        <v>43</v>
      </c>
      <c r="M6" s="13" t="s">
        <v>47</v>
      </c>
      <c r="N6" s="13" t="s">
        <v>48</v>
      </c>
      <c r="O6" s="13" t="s">
        <v>49</v>
      </c>
      <c r="P6" s="9"/>
      <c r="Q6" s="4" t="str">
        <f t="shared" si="1"/>
        <v>Ab. Carlos García</v>
      </c>
      <c r="R6" s="4" t="str">
        <f t="shared" si="2"/>
        <v>0996797882</v>
      </c>
      <c r="S6" s="4" t="str">
        <f t="shared" si="3"/>
        <v>carlos.garcia@sce.gob.ec</v>
      </c>
      <c r="T6" s="37"/>
      <c r="U6" s="38" t="s">
        <v>41</v>
      </c>
    </row>
    <row r="7" spans="1:21" x14ac:dyDescent="0.3">
      <c r="A7" s="13">
        <f t="shared" si="0"/>
        <v>5</v>
      </c>
      <c r="B7" s="16" t="s">
        <v>50</v>
      </c>
      <c r="C7" s="13" t="s">
        <v>23</v>
      </c>
      <c r="D7" s="16" t="s">
        <v>51</v>
      </c>
      <c r="E7" s="13" t="s">
        <v>25</v>
      </c>
      <c r="F7" s="13"/>
      <c r="G7" s="13" t="s">
        <v>26</v>
      </c>
      <c r="H7" s="15" t="s">
        <v>52</v>
      </c>
      <c r="I7" s="13"/>
      <c r="J7" s="13"/>
      <c r="K7" s="13"/>
      <c r="L7" s="13" t="s">
        <v>53</v>
      </c>
      <c r="M7" s="13" t="s">
        <v>54</v>
      </c>
      <c r="N7" s="13" t="s">
        <v>55</v>
      </c>
      <c r="O7" s="13" t="s">
        <v>56</v>
      </c>
      <c r="P7" s="9"/>
      <c r="Q7" s="4" t="str">
        <f t="shared" si="1"/>
        <v>Ab. Cristian Romero</v>
      </c>
      <c r="R7" s="4" t="str">
        <f t="shared" si="2"/>
        <v>0993345666</v>
      </c>
      <c r="S7" s="4" t="str">
        <f t="shared" si="3"/>
        <v>cristian.romero@sce.gob.ec</v>
      </c>
      <c r="T7" s="37"/>
      <c r="U7" s="38" t="s">
        <v>32</v>
      </c>
    </row>
    <row r="8" spans="1:21" x14ac:dyDescent="0.3">
      <c r="A8" s="13">
        <f t="shared" si="0"/>
        <v>6</v>
      </c>
      <c r="B8" s="16" t="s">
        <v>57</v>
      </c>
      <c r="C8" s="13" t="s">
        <v>23</v>
      </c>
      <c r="D8" s="16" t="s">
        <v>58</v>
      </c>
      <c r="E8" s="13" t="s">
        <v>25</v>
      </c>
      <c r="F8" s="13"/>
      <c r="G8" s="13" t="s">
        <v>26</v>
      </c>
      <c r="H8" s="1" t="s">
        <v>27</v>
      </c>
      <c r="I8" s="13"/>
      <c r="J8" s="13"/>
      <c r="K8" s="13"/>
      <c r="L8" s="13" t="s">
        <v>59</v>
      </c>
      <c r="M8" s="13" t="s">
        <v>60</v>
      </c>
      <c r="N8" s="13" t="s">
        <v>61</v>
      </c>
      <c r="O8" s="13" t="s">
        <v>62</v>
      </c>
      <c r="P8" s="9"/>
      <c r="Q8" s="4" t="str">
        <f t="shared" si="1"/>
        <v>Ing. Milka Nazareno</v>
      </c>
      <c r="R8" s="4" t="str">
        <f t="shared" si="2"/>
        <v>0981768984</v>
      </c>
      <c r="S8" s="4" t="str">
        <f t="shared" si="3"/>
        <v>milka.nazareno@sce.gob.ec</v>
      </c>
      <c r="T8" s="37"/>
      <c r="U8" s="38" t="s">
        <v>32</v>
      </c>
    </row>
    <row r="9" spans="1:21" x14ac:dyDescent="0.3">
      <c r="A9" s="13">
        <f t="shared" si="0"/>
        <v>7</v>
      </c>
      <c r="B9" s="16" t="s">
        <v>63</v>
      </c>
      <c r="C9" s="13" t="s">
        <v>23</v>
      </c>
      <c r="D9" s="16" t="s">
        <v>58</v>
      </c>
      <c r="E9" s="13" t="s">
        <v>25</v>
      </c>
      <c r="F9" s="13"/>
      <c r="G9" s="13" t="s">
        <v>26</v>
      </c>
      <c r="H9" s="1" t="s">
        <v>27</v>
      </c>
      <c r="I9" s="13"/>
      <c r="J9" s="13"/>
      <c r="K9" s="13"/>
      <c r="L9" s="13" t="s">
        <v>64</v>
      </c>
      <c r="M9" s="13" t="s">
        <v>65</v>
      </c>
      <c r="N9" s="13" t="s">
        <v>66</v>
      </c>
      <c r="O9" s="13" t="s">
        <v>67</v>
      </c>
      <c r="P9" s="9"/>
      <c r="Q9" s="4" t="str">
        <f t="shared" si="1"/>
        <v>Ing. Milka Nazareno</v>
      </c>
      <c r="R9" s="4" t="str">
        <f t="shared" si="2"/>
        <v>0981768984</v>
      </c>
      <c r="S9" s="4" t="str">
        <f t="shared" si="3"/>
        <v>milka.nazareno@sce.gob.ec</v>
      </c>
      <c r="T9" s="37"/>
      <c r="U9" s="38" t="s">
        <v>32</v>
      </c>
    </row>
    <row r="10" spans="1:21" x14ac:dyDescent="0.3">
      <c r="A10" s="13">
        <f t="shared" si="0"/>
        <v>8</v>
      </c>
      <c r="B10" s="16" t="s">
        <v>68</v>
      </c>
      <c r="C10" s="13" t="s">
        <v>23</v>
      </c>
      <c r="D10" s="16" t="s">
        <v>69</v>
      </c>
      <c r="E10" s="13" t="s">
        <v>25</v>
      </c>
      <c r="F10" s="13"/>
      <c r="G10" s="13" t="s">
        <v>26</v>
      </c>
      <c r="H10" s="1" t="s">
        <v>70</v>
      </c>
      <c r="I10" s="13"/>
      <c r="J10" s="13"/>
      <c r="K10" s="13"/>
      <c r="L10" s="13" t="s">
        <v>71</v>
      </c>
      <c r="M10" s="13" t="s">
        <v>72</v>
      </c>
      <c r="N10" s="13" t="s">
        <v>73</v>
      </c>
      <c r="O10" s="13" t="s">
        <v>74</v>
      </c>
      <c r="P10" s="9"/>
      <c r="Q10" s="4" t="str">
        <f t="shared" si="1"/>
        <v>Ec. Rosa Morales</v>
      </c>
      <c r="R10" s="4" t="str">
        <f t="shared" si="2"/>
        <v>0998290196</v>
      </c>
      <c r="S10" s="4" t="str">
        <f t="shared" si="3"/>
        <v>rosa.morales@sce.gob.ec</v>
      </c>
      <c r="T10" s="37"/>
      <c r="U10" s="38" t="s">
        <v>32</v>
      </c>
    </row>
    <row r="11" spans="1:21" x14ac:dyDescent="0.3">
      <c r="A11" s="13">
        <f t="shared" si="0"/>
        <v>9</v>
      </c>
      <c r="B11" s="16" t="s">
        <v>75</v>
      </c>
      <c r="C11" s="13" t="s">
        <v>23</v>
      </c>
      <c r="D11" s="16" t="s">
        <v>76</v>
      </c>
      <c r="E11" s="13" t="s">
        <v>25</v>
      </c>
      <c r="F11" s="13"/>
      <c r="G11" s="13" t="s">
        <v>26</v>
      </c>
      <c r="H11" s="1" t="s">
        <v>27</v>
      </c>
      <c r="I11" s="13"/>
      <c r="J11" s="13"/>
      <c r="K11" s="13"/>
      <c r="L11" s="13" t="s">
        <v>28</v>
      </c>
      <c r="M11" s="13" t="s">
        <v>77</v>
      </c>
      <c r="N11" s="13" t="s">
        <v>78</v>
      </c>
      <c r="O11" s="13" t="s">
        <v>79</v>
      </c>
      <c r="P11" s="9"/>
      <c r="Q11" s="4" t="str">
        <f t="shared" si="1"/>
        <v>Ing. Milka Nazareno</v>
      </c>
      <c r="R11" s="4" t="str">
        <f t="shared" si="2"/>
        <v>0981768984</v>
      </c>
      <c r="S11" s="4" t="str">
        <f t="shared" si="3"/>
        <v>milka.nazareno@sce.gob.ec</v>
      </c>
      <c r="T11" s="37"/>
      <c r="U11" s="38" t="s">
        <v>32</v>
      </c>
    </row>
    <row r="12" spans="1:21" x14ac:dyDescent="0.3">
      <c r="A12" s="13">
        <f t="shared" si="0"/>
        <v>10</v>
      </c>
      <c r="B12" s="16" t="s">
        <v>80</v>
      </c>
      <c r="C12" s="13" t="s">
        <v>23</v>
      </c>
      <c r="D12" s="16" t="s">
        <v>81</v>
      </c>
      <c r="E12" s="13" t="s">
        <v>25</v>
      </c>
      <c r="F12" s="13"/>
      <c r="G12" s="13" t="s">
        <v>26</v>
      </c>
      <c r="H12" s="1" t="s">
        <v>70</v>
      </c>
      <c r="I12" s="13"/>
      <c r="J12" s="13"/>
      <c r="K12" s="13"/>
      <c r="L12" s="13" t="s">
        <v>28</v>
      </c>
      <c r="M12" s="13" t="s">
        <v>82</v>
      </c>
      <c r="N12" s="13" t="s">
        <v>83</v>
      </c>
      <c r="O12" s="13" t="s">
        <v>84</v>
      </c>
      <c r="P12" s="9"/>
      <c r="Q12" s="4" t="str">
        <f t="shared" si="1"/>
        <v>Ec. Rosa Morales</v>
      </c>
      <c r="R12" s="4" t="str">
        <f t="shared" si="2"/>
        <v>0998290196</v>
      </c>
      <c r="S12" s="4" t="str">
        <f t="shared" si="3"/>
        <v>rosa.morales@sce.gob.ec</v>
      </c>
      <c r="T12" s="37"/>
      <c r="U12" s="38" t="s">
        <v>32</v>
      </c>
    </row>
    <row r="13" spans="1:21" x14ac:dyDescent="0.3">
      <c r="A13" s="13">
        <f t="shared" si="0"/>
        <v>11</v>
      </c>
      <c r="B13" s="16" t="s">
        <v>85</v>
      </c>
      <c r="C13" s="13" t="s">
        <v>23</v>
      </c>
      <c r="D13" s="16" t="s">
        <v>86</v>
      </c>
      <c r="E13" s="13" t="s">
        <v>25</v>
      </c>
      <c r="F13" s="13"/>
      <c r="G13" s="13" t="s">
        <v>26</v>
      </c>
      <c r="H13" s="1" t="s">
        <v>27</v>
      </c>
      <c r="I13" s="13"/>
      <c r="J13" s="13"/>
      <c r="K13" s="13"/>
      <c r="L13" s="13" t="s">
        <v>87</v>
      </c>
      <c r="M13" s="13" t="s">
        <v>88</v>
      </c>
      <c r="N13" s="13" t="s">
        <v>89</v>
      </c>
      <c r="O13" s="13" t="s">
        <v>90</v>
      </c>
      <c r="P13" s="9"/>
      <c r="Q13" s="4" t="str">
        <f t="shared" si="1"/>
        <v>Ing. Milka Nazareno</v>
      </c>
      <c r="R13" s="4" t="str">
        <f t="shared" si="2"/>
        <v>0981768984</v>
      </c>
      <c r="S13" s="4" t="str">
        <f t="shared" si="3"/>
        <v>milka.nazareno@sce.gob.ec</v>
      </c>
      <c r="T13" s="37"/>
      <c r="U13" s="38" t="s">
        <v>32</v>
      </c>
    </row>
    <row r="14" spans="1:21" x14ac:dyDescent="0.3">
      <c r="A14" s="13">
        <f t="shared" si="0"/>
        <v>12</v>
      </c>
      <c r="B14" s="16" t="s">
        <v>91</v>
      </c>
      <c r="C14" s="13" t="s">
        <v>23</v>
      </c>
      <c r="D14" s="16" t="s">
        <v>92</v>
      </c>
      <c r="E14" s="13" t="s">
        <v>25</v>
      </c>
      <c r="F14" s="13"/>
      <c r="G14" s="13" t="s">
        <v>26</v>
      </c>
      <c r="H14" s="1" t="s">
        <v>27</v>
      </c>
      <c r="I14" s="13"/>
      <c r="J14" s="13"/>
      <c r="K14" s="13"/>
      <c r="L14" s="13" t="s">
        <v>59</v>
      </c>
      <c r="M14" s="13" t="s">
        <v>93</v>
      </c>
      <c r="N14" s="13" t="s">
        <v>94</v>
      </c>
      <c r="O14" s="13" t="s">
        <v>95</v>
      </c>
      <c r="P14" s="9"/>
      <c r="Q14" s="4" t="str">
        <f t="shared" si="1"/>
        <v>Ing. Milka Nazareno</v>
      </c>
      <c r="R14" s="4" t="str">
        <f t="shared" si="2"/>
        <v>0981768984</v>
      </c>
      <c r="S14" s="4" t="str">
        <f t="shared" si="3"/>
        <v>milka.nazareno@sce.gob.ec</v>
      </c>
      <c r="T14" s="37"/>
      <c r="U14" s="38" t="s">
        <v>32</v>
      </c>
    </row>
    <row r="15" spans="1:21" x14ac:dyDescent="0.3">
      <c r="A15" s="13">
        <f t="shared" si="0"/>
        <v>13</v>
      </c>
      <c r="B15" s="16" t="s">
        <v>96</v>
      </c>
      <c r="C15" s="13" t="s">
        <v>23</v>
      </c>
      <c r="D15" s="16" t="s">
        <v>97</v>
      </c>
      <c r="E15" s="13" t="s">
        <v>25</v>
      </c>
      <c r="F15" s="13"/>
      <c r="G15" s="13" t="s">
        <v>26</v>
      </c>
      <c r="H15" s="1" t="s">
        <v>27</v>
      </c>
      <c r="I15" s="13"/>
      <c r="J15" s="13"/>
      <c r="K15" s="13"/>
      <c r="L15" s="13" t="s">
        <v>28</v>
      </c>
      <c r="M15" s="13" t="s">
        <v>98</v>
      </c>
      <c r="N15" s="13" t="s">
        <v>99</v>
      </c>
      <c r="O15" s="13" t="s">
        <v>100</v>
      </c>
      <c r="P15" s="9"/>
      <c r="Q15" s="4" t="str">
        <f t="shared" si="1"/>
        <v>Ing. Milka Nazareno</v>
      </c>
      <c r="R15" s="4" t="str">
        <f t="shared" si="2"/>
        <v>0981768984</v>
      </c>
      <c r="S15" s="4" t="str">
        <f t="shared" si="3"/>
        <v>milka.nazareno@sce.gob.ec</v>
      </c>
      <c r="T15" s="37"/>
      <c r="U15" s="38" t="s">
        <v>32</v>
      </c>
    </row>
    <row r="16" spans="1:21" x14ac:dyDescent="0.3">
      <c r="A16" s="13">
        <f t="shared" si="0"/>
        <v>14</v>
      </c>
      <c r="B16" s="16" t="s">
        <v>101</v>
      </c>
      <c r="C16" s="13" t="s">
        <v>23</v>
      </c>
      <c r="D16" s="16" t="s">
        <v>102</v>
      </c>
      <c r="E16" s="13" t="s">
        <v>25</v>
      </c>
      <c r="F16" s="13"/>
      <c r="G16" s="13" t="s">
        <v>26</v>
      </c>
      <c r="H16" s="1" t="s">
        <v>103</v>
      </c>
      <c r="I16" s="13"/>
      <c r="J16" s="13"/>
      <c r="K16" s="13"/>
      <c r="L16" s="13" t="s">
        <v>59</v>
      </c>
      <c r="M16" s="13" t="s">
        <v>104</v>
      </c>
      <c r="N16" s="13" t="s">
        <v>105</v>
      </c>
      <c r="O16" s="13" t="s">
        <v>106</v>
      </c>
      <c r="P16" s="9"/>
      <c r="Q16" s="4" t="str">
        <f t="shared" si="1"/>
        <v>Ab. Carlos García</v>
      </c>
      <c r="R16" s="4" t="str">
        <f t="shared" si="2"/>
        <v>0996797882</v>
      </c>
      <c r="S16" s="4" t="str">
        <f t="shared" si="3"/>
        <v>carlos.garcia@sce.gob.ec</v>
      </c>
      <c r="T16" s="37"/>
      <c r="U16" s="38" t="s">
        <v>32</v>
      </c>
    </row>
    <row r="17" spans="1:21" x14ac:dyDescent="0.3">
      <c r="A17" s="13">
        <f t="shared" si="0"/>
        <v>15</v>
      </c>
      <c r="B17" s="16" t="s">
        <v>107</v>
      </c>
      <c r="C17" s="13" t="s">
        <v>23</v>
      </c>
      <c r="D17" s="16" t="s">
        <v>108</v>
      </c>
      <c r="E17" s="13" t="s">
        <v>35</v>
      </c>
      <c r="F17" s="17"/>
      <c r="G17" s="13" t="s">
        <v>26</v>
      </c>
      <c r="H17" s="1" t="s">
        <v>103</v>
      </c>
      <c r="I17" s="17"/>
      <c r="J17" s="17"/>
      <c r="K17" s="17"/>
      <c r="L17" s="13" t="s">
        <v>59</v>
      </c>
      <c r="M17" s="18" t="s">
        <v>109</v>
      </c>
      <c r="N17" s="18" t="s">
        <v>110</v>
      </c>
      <c r="O17" s="18" t="s">
        <v>111</v>
      </c>
      <c r="P17" s="9"/>
      <c r="Q17" s="4" t="str">
        <f t="shared" si="1"/>
        <v>Ab. Carlos García</v>
      </c>
      <c r="R17" s="4" t="str">
        <f t="shared" si="2"/>
        <v>0996797882</v>
      </c>
      <c r="S17" s="4" t="str">
        <f t="shared" si="3"/>
        <v>carlos.garcia@sce.gob.ec</v>
      </c>
      <c r="T17" s="37" t="s">
        <v>112</v>
      </c>
      <c r="U17" s="38"/>
    </row>
    <row r="18" spans="1:21" ht="43.2" x14ac:dyDescent="0.3">
      <c r="A18" s="19">
        <f t="shared" si="0"/>
        <v>16</v>
      </c>
      <c r="B18" s="20" t="s">
        <v>113</v>
      </c>
      <c r="C18" s="19" t="s">
        <v>114</v>
      </c>
      <c r="D18" s="20" t="s">
        <v>115</v>
      </c>
      <c r="E18" s="19" t="s">
        <v>35</v>
      </c>
      <c r="F18" s="19"/>
      <c r="G18" s="19" t="s">
        <v>26</v>
      </c>
      <c r="H18" s="21" t="s">
        <v>52</v>
      </c>
      <c r="I18" s="19"/>
      <c r="J18" s="19"/>
      <c r="K18" s="19"/>
      <c r="L18" s="19" t="s">
        <v>116</v>
      </c>
      <c r="M18" s="19" t="s">
        <v>117</v>
      </c>
      <c r="N18" s="19" t="s">
        <v>118</v>
      </c>
      <c r="O18" s="19" t="s">
        <v>119</v>
      </c>
      <c r="P18" s="9"/>
      <c r="Q18" s="4" t="str">
        <f t="shared" si="1"/>
        <v>Ab. Cristian Romero</v>
      </c>
      <c r="R18" s="4" t="str">
        <f t="shared" si="2"/>
        <v>0993345666</v>
      </c>
      <c r="S18" s="4" t="str">
        <f t="shared" si="3"/>
        <v>cristian.romero@sce.gob.ec</v>
      </c>
      <c r="T18" s="37" t="s">
        <v>120</v>
      </c>
      <c r="U18" s="38" t="s">
        <v>121</v>
      </c>
    </row>
    <row r="19" spans="1:21" x14ac:dyDescent="0.3">
      <c r="A19" s="19">
        <f t="shared" si="0"/>
        <v>17</v>
      </c>
      <c r="B19" s="20" t="s">
        <v>122</v>
      </c>
      <c r="C19" s="19" t="s">
        <v>114</v>
      </c>
      <c r="D19" s="20" t="s">
        <v>123</v>
      </c>
      <c r="E19" s="19" t="s">
        <v>35</v>
      </c>
      <c r="F19" s="19"/>
      <c r="G19" s="19" t="s">
        <v>26</v>
      </c>
      <c r="H19" s="21" t="s">
        <v>52</v>
      </c>
      <c r="I19" s="19"/>
      <c r="J19" s="19"/>
      <c r="K19" s="19"/>
      <c r="L19" s="19" t="s">
        <v>124</v>
      </c>
      <c r="M19" s="19" t="s">
        <v>125</v>
      </c>
      <c r="N19" s="19" t="s">
        <v>126</v>
      </c>
      <c r="O19" s="19" t="s">
        <v>127</v>
      </c>
      <c r="P19" s="9"/>
      <c r="Q19" s="4" t="str">
        <f t="shared" si="1"/>
        <v>Ab. Cristian Romero</v>
      </c>
      <c r="R19" s="4" t="str">
        <f t="shared" si="2"/>
        <v>0993345666</v>
      </c>
      <c r="S19" s="4" t="str">
        <f t="shared" si="3"/>
        <v>cristian.romero@sce.gob.ec</v>
      </c>
      <c r="T19" s="37" t="s">
        <v>128</v>
      </c>
      <c r="U19" s="38"/>
    </row>
    <row r="20" spans="1:21" ht="28.8" x14ac:dyDescent="0.3">
      <c r="A20" s="19">
        <f t="shared" si="0"/>
        <v>18</v>
      </c>
      <c r="B20" s="20" t="s">
        <v>129</v>
      </c>
      <c r="C20" s="19" t="s">
        <v>114</v>
      </c>
      <c r="D20" s="20" t="s">
        <v>130</v>
      </c>
      <c r="E20" s="19" t="s">
        <v>35</v>
      </c>
      <c r="F20" s="19"/>
      <c r="G20" s="19" t="s">
        <v>26</v>
      </c>
      <c r="H20" s="21" t="s">
        <v>52</v>
      </c>
      <c r="I20" s="19"/>
      <c r="J20" s="19"/>
      <c r="K20" s="19"/>
      <c r="L20" s="19" t="s">
        <v>131</v>
      </c>
      <c r="M20" s="19" t="s">
        <v>132</v>
      </c>
      <c r="N20" s="32" t="s">
        <v>133</v>
      </c>
      <c r="O20" s="19" t="s">
        <v>134</v>
      </c>
      <c r="P20" s="9"/>
      <c r="Q20" s="4" t="str">
        <f t="shared" si="1"/>
        <v>Ab. Cristian Romero</v>
      </c>
      <c r="R20" s="4" t="str">
        <f t="shared" si="2"/>
        <v>0993345666</v>
      </c>
      <c r="S20" s="4" t="str">
        <f t="shared" si="3"/>
        <v>cristian.romero@sce.gob.ec</v>
      </c>
      <c r="T20" s="37" t="s">
        <v>135</v>
      </c>
      <c r="U20" s="38" t="s">
        <v>136</v>
      </c>
    </row>
    <row r="21" spans="1:21" x14ac:dyDescent="0.3">
      <c r="A21" s="19">
        <f t="shared" si="0"/>
        <v>19</v>
      </c>
      <c r="B21" s="20" t="s">
        <v>137</v>
      </c>
      <c r="C21" s="19" t="s">
        <v>114</v>
      </c>
      <c r="D21" s="20" t="s">
        <v>138</v>
      </c>
      <c r="E21" s="19" t="s">
        <v>35</v>
      </c>
      <c r="F21" s="19"/>
      <c r="G21" s="19" t="s">
        <v>26</v>
      </c>
      <c r="H21" s="21" t="s">
        <v>70</v>
      </c>
      <c r="I21" s="19"/>
      <c r="J21" s="19"/>
      <c r="K21" s="19"/>
      <c r="L21" s="19" t="s">
        <v>124</v>
      </c>
      <c r="M21" s="19" t="s">
        <v>139</v>
      </c>
      <c r="N21" s="19" t="s">
        <v>140</v>
      </c>
      <c r="O21" s="19" t="s">
        <v>141</v>
      </c>
      <c r="P21" s="9"/>
      <c r="Q21" s="4" t="str">
        <f t="shared" si="1"/>
        <v>Ec. Rosa Morales</v>
      </c>
      <c r="R21" s="4" t="str">
        <f t="shared" si="2"/>
        <v>0998290196</v>
      </c>
      <c r="S21" s="4" t="str">
        <f t="shared" si="3"/>
        <v>rosa.morales@sce.gob.ec</v>
      </c>
      <c r="T21" s="37" t="s">
        <v>142</v>
      </c>
      <c r="U21" s="38"/>
    </row>
    <row r="22" spans="1:21" x14ac:dyDescent="0.3">
      <c r="A22" s="19">
        <f t="shared" si="0"/>
        <v>20</v>
      </c>
      <c r="B22" s="20" t="s">
        <v>143</v>
      </c>
      <c r="C22" s="19" t="s">
        <v>114</v>
      </c>
      <c r="D22" s="20" t="s">
        <v>144</v>
      </c>
      <c r="E22" s="19" t="s">
        <v>35</v>
      </c>
      <c r="F22" s="19"/>
      <c r="G22" s="19" t="s">
        <v>26</v>
      </c>
      <c r="H22" s="19" t="s">
        <v>145</v>
      </c>
      <c r="I22" s="19"/>
      <c r="J22" s="19"/>
      <c r="K22" s="19"/>
      <c r="L22" s="19" t="s">
        <v>87</v>
      </c>
      <c r="M22" s="19" t="s">
        <v>146</v>
      </c>
      <c r="N22" s="19" t="s">
        <v>147</v>
      </c>
      <c r="O22" s="19" t="s">
        <v>148</v>
      </c>
      <c r="P22" s="9"/>
      <c r="Q22" s="4" t="str">
        <f t="shared" si="1"/>
        <v>Ing. Milka Nazareno</v>
      </c>
      <c r="R22" s="4" t="str">
        <f t="shared" si="2"/>
        <v>0981768984</v>
      </c>
      <c r="S22" s="4" t="str">
        <f t="shared" si="3"/>
        <v>milka.nazareno@sce.gob.ec</v>
      </c>
      <c r="T22" s="37" t="s">
        <v>149</v>
      </c>
      <c r="U22" s="38"/>
    </row>
    <row r="23" spans="1:21" x14ac:dyDescent="0.3">
      <c r="A23" s="19">
        <f t="shared" si="0"/>
        <v>21</v>
      </c>
      <c r="B23" s="20" t="s">
        <v>150</v>
      </c>
      <c r="C23" s="19" t="s">
        <v>114</v>
      </c>
      <c r="D23" s="20" t="s">
        <v>151</v>
      </c>
      <c r="E23" s="19" t="s">
        <v>35</v>
      </c>
      <c r="F23" s="19"/>
      <c r="G23" s="19" t="s">
        <v>26</v>
      </c>
      <c r="H23" s="21" t="s">
        <v>103</v>
      </c>
      <c r="I23" s="19"/>
      <c r="J23" s="19"/>
      <c r="K23" s="19"/>
      <c r="L23" s="19" t="s">
        <v>152</v>
      </c>
      <c r="M23" s="19" t="s">
        <v>153</v>
      </c>
      <c r="N23" s="19" t="s">
        <v>154</v>
      </c>
      <c r="O23" s="19" t="s">
        <v>155</v>
      </c>
      <c r="P23" s="9"/>
      <c r="Q23" s="4" t="str">
        <f t="shared" si="1"/>
        <v>Ab. Carlos García</v>
      </c>
      <c r="R23" s="4" t="str">
        <f t="shared" si="2"/>
        <v>0996797882</v>
      </c>
      <c r="S23" s="4" t="str">
        <f t="shared" si="3"/>
        <v>carlos.garcia@sce.gob.ec</v>
      </c>
      <c r="T23" s="37" t="s">
        <v>156</v>
      </c>
      <c r="U23" s="38"/>
    </row>
    <row r="24" spans="1:21" x14ac:dyDescent="0.3">
      <c r="A24" s="19">
        <f t="shared" si="0"/>
        <v>22</v>
      </c>
      <c r="B24" s="22" t="s">
        <v>157</v>
      </c>
      <c r="C24" s="21" t="s">
        <v>114</v>
      </c>
      <c r="D24" s="22" t="s">
        <v>158</v>
      </c>
      <c r="E24" s="19" t="s">
        <v>35</v>
      </c>
      <c r="F24" s="19"/>
      <c r="G24" s="19" t="s">
        <v>26</v>
      </c>
      <c r="H24" s="21" t="s">
        <v>52</v>
      </c>
      <c r="I24" s="19"/>
      <c r="J24" s="19"/>
      <c r="K24" s="19"/>
      <c r="L24" s="19" t="s">
        <v>28</v>
      </c>
      <c r="M24" s="19" t="s">
        <v>159</v>
      </c>
      <c r="N24" s="19" t="s">
        <v>160</v>
      </c>
      <c r="O24" s="19" t="s">
        <v>161</v>
      </c>
      <c r="P24" s="9"/>
      <c r="Q24" s="4" t="str">
        <f t="shared" si="1"/>
        <v>Ab. Cristian Romero</v>
      </c>
      <c r="R24" s="4" t="str">
        <f t="shared" si="2"/>
        <v>0993345666</v>
      </c>
      <c r="S24" s="4" t="str">
        <f t="shared" si="3"/>
        <v>cristian.romero@sce.gob.ec</v>
      </c>
      <c r="T24" s="37" t="s">
        <v>162</v>
      </c>
      <c r="U24" s="38"/>
    </row>
    <row r="25" spans="1:21" x14ac:dyDescent="0.3">
      <c r="A25" s="19">
        <f t="shared" si="0"/>
        <v>23</v>
      </c>
      <c r="B25" s="22" t="s">
        <v>163</v>
      </c>
      <c r="C25" s="21" t="s">
        <v>114</v>
      </c>
      <c r="D25" s="22" t="s">
        <v>164</v>
      </c>
      <c r="E25" s="19" t="s">
        <v>35</v>
      </c>
      <c r="F25" s="19"/>
      <c r="G25" s="19" t="s">
        <v>26</v>
      </c>
      <c r="H25" s="19" t="s">
        <v>27</v>
      </c>
      <c r="I25" s="19"/>
      <c r="J25" s="19"/>
      <c r="K25" s="19"/>
      <c r="L25" s="19" t="s">
        <v>124</v>
      </c>
      <c r="M25" s="19" t="s">
        <v>165</v>
      </c>
      <c r="N25" s="32" t="s">
        <v>166</v>
      </c>
      <c r="O25" s="19" t="s">
        <v>167</v>
      </c>
      <c r="P25" s="9"/>
      <c r="Q25" s="4" t="str">
        <f t="shared" si="1"/>
        <v>Ing. Milka Nazareno</v>
      </c>
      <c r="R25" s="4" t="str">
        <f t="shared" si="2"/>
        <v>0981768984</v>
      </c>
      <c r="S25" s="4" t="str">
        <f t="shared" si="3"/>
        <v>milka.nazareno@sce.gob.ec</v>
      </c>
      <c r="T25" s="37" t="s">
        <v>168</v>
      </c>
      <c r="U25" s="38"/>
    </row>
    <row r="26" spans="1:21" ht="28.8" customHeight="1" x14ac:dyDescent="0.3">
      <c r="A26" s="19">
        <f t="shared" si="0"/>
        <v>24</v>
      </c>
      <c r="B26" s="20" t="s">
        <v>169</v>
      </c>
      <c r="C26" s="19" t="s">
        <v>114</v>
      </c>
      <c r="D26" s="20" t="s">
        <v>170</v>
      </c>
      <c r="E26" s="19" t="s">
        <v>35</v>
      </c>
      <c r="F26" s="19"/>
      <c r="G26" s="19" t="s">
        <v>26</v>
      </c>
      <c r="H26" s="21" t="s">
        <v>27</v>
      </c>
      <c r="I26" s="19"/>
      <c r="J26" s="19"/>
      <c r="K26" s="19"/>
      <c r="L26" s="19" t="s">
        <v>131</v>
      </c>
      <c r="M26" s="19" t="s">
        <v>171</v>
      </c>
      <c r="N26" s="32" t="s">
        <v>172</v>
      </c>
      <c r="O26" s="19" t="s">
        <v>173</v>
      </c>
      <c r="P26" s="9"/>
      <c r="Q26" s="4" t="str">
        <f t="shared" si="1"/>
        <v>Ing. Milka Nazareno</v>
      </c>
      <c r="R26" s="4" t="str">
        <f t="shared" si="2"/>
        <v>0981768984</v>
      </c>
      <c r="S26" s="4" t="str">
        <f t="shared" si="3"/>
        <v>milka.nazareno@sce.gob.ec</v>
      </c>
      <c r="T26" s="37" t="s">
        <v>174</v>
      </c>
      <c r="U26" s="38"/>
    </row>
    <row r="27" spans="1:21" ht="28.8" customHeight="1" x14ac:dyDescent="0.3">
      <c r="A27" s="19">
        <f t="shared" si="0"/>
        <v>25</v>
      </c>
      <c r="B27" s="22" t="s">
        <v>175</v>
      </c>
      <c r="C27" s="21" t="s">
        <v>114</v>
      </c>
      <c r="D27" s="22" t="s">
        <v>176</v>
      </c>
      <c r="E27" s="19" t="s">
        <v>25</v>
      </c>
      <c r="F27" s="19"/>
      <c r="G27" s="19" t="s">
        <v>26</v>
      </c>
      <c r="H27" s="19" t="s">
        <v>103</v>
      </c>
      <c r="I27" s="19"/>
      <c r="J27" s="19"/>
      <c r="K27" s="19"/>
      <c r="L27" s="19" t="s">
        <v>177</v>
      </c>
      <c r="M27" s="19" t="s">
        <v>178</v>
      </c>
      <c r="N27" s="19"/>
      <c r="O27" s="19" t="s">
        <v>74</v>
      </c>
      <c r="P27" s="9"/>
      <c r="Q27" s="4" t="str">
        <f t="shared" si="1"/>
        <v>Ab. Carlos García</v>
      </c>
      <c r="R27" s="4" t="str">
        <f t="shared" si="2"/>
        <v>0996797882</v>
      </c>
      <c r="S27" s="4" t="str">
        <f t="shared" si="3"/>
        <v>carlos.garcia@sce.gob.ec</v>
      </c>
      <c r="T27" s="37"/>
      <c r="U27" s="38" t="s">
        <v>32</v>
      </c>
    </row>
    <row r="28" spans="1:21" ht="28.8" customHeight="1" x14ac:dyDescent="0.3">
      <c r="A28" s="19">
        <f t="shared" si="0"/>
        <v>26</v>
      </c>
      <c r="B28" s="22" t="s">
        <v>179</v>
      </c>
      <c r="C28" s="21" t="s">
        <v>114</v>
      </c>
      <c r="D28" s="22" t="s">
        <v>176</v>
      </c>
      <c r="E28" s="19" t="s">
        <v>25</v>
      </c>
      <c r="F28" s="19"/>
      <c r="G28" s="19" t="s">
        <v>26</v>
      </c>
      <c r="H28" s="19" t="s">
        <v>103</v>
      </c>
      <c r="I28" s="19"/>
      <c r="J28" s="19"/>
      <c r="K28" s="19"/>
      <c r="L28" s="19" t="s">
        <v>177</v>
      </c>
      <c r="M28" s="19" t="s">
        <v>178</v>
      </c>
      <c r="N28" s="19"/>
      <c r="O28" s="19" t="s">
        <v>74</v>
      </c>
      <c r="P28" s="9"/>
      <c r="Q28" s="4" t="str">
        <f t="shared" si="1"/>
        <v>Ab. Carlos García</v>
      </c>
      <c r="R28" s="4" t="str">
        <f t="shared" si="2"/>
        <v>0996797882</v>
      </c>
      <c r="S28" s="4" t="str">
        <f t="shared" si="3"/>
        <v>carlos.garcia@sce.gob.ec</v>
      </c>
      <c r="T28" s="37"/>
      <c r="U28" s="38" t="s">
        <v>32</v>
      </c>
    </row>
    <row r="29" spans="1:21" x14ac:dyDescent="0.3">
      <c r="A29" s="19">
        <f t="shared" si="0"/>
        <v>27</v>
      </c>
      <c r="B29" s="20" t="s">
        <v>180</v>
      </c>
      <c r="C29" s="19" t="s">
        <v>114</v>
      </c>
      <c r="D29" s="20" t="s">
        <v>181</v>
      </c>
      <c r="E29" s="19" t="s">
        <v>35</v>
      </c>
      <c r="F29" s="19"/>
      <c r="G29" s="19" t="s">
        <v>26</v>
      </c>
      <c r="H29" s="19" t="s">
        <v>145</v>
      </c>
      <c r="I29" s="19"/>
      <c r="J29" s="19"/>
      <c r="K29" s="19"/>
      <c r="L29" s="19" t="s">
        <v>28</v>
      </c>
      <c r="M29" s="19" t="s">
        <v>146</v>
      </c>
      <c r="N29" s="19" t="s">
        <v>182</v>
      </c>
      <c r="O29" s="19" t="s">
        <v>148</v>
      </c>
      <c r="P29" s="9"/>
      <c r="Q29" s="4" t="str">
        <f t="shared" si="1"/>
        <v>Ing. Milka Nazareno</v>
      </c>
      <c r="R29" s="4" t="str">
        <f t="shared" si="2"/>
        <v>0981768984</v>
      </c>
      <c r="S29" s="4" t="str">
        <f t="shared" si="3"/>
        <v>milka.nazareno@sce.gob.ec</v>
      </c>
      <c r="T29" s="37" t="s">
        <v>183</v>
      </c>
      <c r="U29" s="38"/>
    </row>
    <row r="30" spans="1:21" x14ac:dyDescent="0.3">
      <c r="A30" s="19">
        <f t="shared" si="0"/>
        <v>28</v>
      </c>
      <c r="B30" s="22" t="s">
        <v>184</v>
      </c>
      <c r="C30" s="21" t="s">
        <v>114</v>
      </c>
      <c r="D30" s="22" t="s">
        <v>185</v>
      </c>
      <c r="E30" s="19" t="s">
        <v>35</v>
      </c>
      <c r="F30" s="19"/>
      <c r="G30" s="19" t="s">
        <v>26</v>
      </c>
      <c r="H30" s="21" t="s">
        <v>103</v>
      </c>
      <c r="I30" s="19"/>
      <c r="J30" s="19"/>
      <c r="K30" s="19"/>
      <c r="L30" s="19" t="s">
        <v>131</v>
      </c>
      <c r="M30" s="19" t="s">
        <v>186</v>
      </c>
      <c r="N30" s="19" t="s">
        <v>187</v>
      </c>
      <c r="O30" s="19" t="s">
        <v>188</v>
      </c>
      <c r="P30" s="9"/>
      <c r="Q30" s="4" t="str">
        <f t="shared" si="1"/>
        <v>Ab. Carlos García</v>
      </c>
      <c r="R30" s="4" t="str">
        <f t="shared" si="2"/>
        <v>0996797882</v>
      </c>
      <c r="S30" s="4" t="str">
        <f t="shared" si="3"/>
        <v>carlos.garcia@sce.gob.ec</v>
      </c>
      <c r="T30" s="37" t="s">
        <v>189</v>
      </c>
      <c r="U30" s="38"/>
    </row>
    <row r="31" spans="1:21" x14ac:dyDescent="0.3">
      <c r="A31" s="19">
        <f t="shared" si="0"/>
        <v>29</v>
      </c>
      <c r="B31" s="20" t="s">
        <v>190</v>
      </c>
      <c r="C31" s="19" t="s">
        <v>114</v>
      </c>
      <c r="D31" s="20" t="s">
        <v>191</v>
      </c>
      <c r="E31" s="23" t="s">
        <v>35</v>
      </c>
      <c r="F31" s="23"/>
      <c r="G31" s="19" t="s">
        <v>26</v>
      </c>
      <c r="H31" s="19" t="s">
        <v>192</v>
      </c>
      <c r="I31" s="23"/>
      <c r="J31" s="23"/>
      <c r="K31" s="23"/>
      <c r="L31" s="19" t="s">
        <v>35</v>
      </c>
      <c r="M31" s="24" t="s">
        <v>193</v>
      </c>
      <c r="N31" s="30" t="s">
        <v>194</v>
      </c>
      <c r="O31" s="24" t="s">
        <v>195</v>
      </c>
      <c r="P31" s="9"/>
      <c r="Q31" s="4" t="str">
        <f t="shared" ref="Q31:Q64" si="4">IF(H31="Milka","Ing. Milka Nazareno",IF(H31="Carlos G","Ab. Carlos García",IF(H31="OTAP","Ab. Cristian Romero",IF(H31="OTAC","Ec. Rosa Morales",IF(H31="OTAL","Ec. Salomé Rosales",IF(H31="Despacho","Ab. Carlos García",IF(H31="Intendente Regional","Ing. Milka Nazareno","")))))))</f>
        <v>Ec. Salomé Rosales</v>
      </c>
      <c r="R31" s="35" t="str">
        <f t="shared" ref="R31:R64" si="5">IF(H31="Milka","0981768984",IF(H31="Carlos G","0996797882",IF(H31="OTAP","0993345666",IF(H31="OTAC","0998290196",IF(H31="OTAL","0995041957",IF(H31="Despacho","0996797882",IF(H31="Intendente Regional","0981768984","")))))))</f>
        <v>0995041957</v>
      </c>
      <c r="S31" s="36" t="str">
        <f t="shared" ref="S31:S64" si="6">IF(H31="Milka","milka.nazareno@sce.gob.ec",IF(H31="Carlos G","carlos.garcia@sce.gob.ec",IF(H31="OTAP","cristian.romero@sce.gob.ec",IF(H31="OTAC","rosa.morales@sce.gob.ec",IF(H31="OTAL","salome.rosales@sce.gob.ec",IF(H31="Despacho","carlos.garcia@sce.gob.ec",IF(H31="Intendente Regional","milka.nazareno@sce.gob.ec","")))))))</f>
        <v>salome.rosales@sce.gob.ec</v>
      </c>
      <c r="T31" s="37" t="s">
        <v>196</v>
      </c>
      <c r="U31" s="38"/>
    </row>
    <row r="32" spans="1:21" x14ac:dyDescent="0.3">
      <c r="A32" s="19">
        <f t="shared" si="0"/>
        <v>30</v>
      </c>
      <c r="B32" s="20" t="s">
        <v>197</v>
      </c>
      <c r="C32" s="19" t="s">
        <v>114</v>
      </c>
      <c r="D32" s="20" t="s">
        <v>198</v>
      </c>
      <c r="E32" s="23" t="s">
        <v>35</v>
      </c>
      <c r="F32" s="23"/>
      <c r="G32" s="19" t="s">
        <v>26</v>
      </c>
      <c r="H32" s="19" t="s">
        <v>192</v>
      </c>
      <c r="I32" s="23"/>
      <c r="J32" s="23"/>
      <c r="K32" s="23"/>
      <c r="L32" s="19" t="s">
        <v>28</v>
      </c>
      <c r="M32" s="24" t="s">
        <v>199</v>
      </c>
      <c r="N32" s="30" t="s">
        <v>200</v>
      </c>
      <c r="O32" s="24" t="s">
        <v>201</v>
      </c>
      <c r="P32" s="9"/>
      <c r="Q32" s="4" t="str">
        <f t="shared" si="4"/>
        <v>Ec. Salomé Rosales</v>
      </c>
      <c r="R32" s="35" t="str">
        <f t="shared" si="5"/>
        <v>0995041957</v>
      </c>
      <c r="S32" s="36" t="str">
        <f t="shared" si="6"/>
        <v>salome.rosales@sce.gob.ec</v>
      </c>
      <c r="T32" s="37" t="s">
        <v>202</v>
      </c>
      <c r="U32" s="38"/>
    </row>
    <row r="33" spans="1:21" x14ac:dyDescent="0.3">
      <c r="A33" s="19">
        <f t="shared" si="0"/>
        <v>31</v>
      </c>
      <c r="B33" s="20" t="s">
        <v>203</v>
      </c>
      <c r="C33" s="19" t="s">
        <v>114</v>
      </c>
      <c r="D33" s="20" t="s">
        <v>204</v>
      </c>
      <c r="E33" s="23" t="s">
        <v>35</v>
      </c>
      <c r="F33" s="23"/>
      <c r="G33" s="19" t="s">
        <v>26</v>
      </c>
      <c r="H33" s="21" t="s">
        <v>70</v>
      </c>
      <c r="I33" s="23"/>
      <c r="J33" s="23"/>
      <c r="K33" s="23"/>
      <c r="L33" s="19" t="s">
        <v>205</v>
      </c>
      <c r="M33" s="24" t="s">
        <v>206</v>
      </c>
      <c r="N33" s="24" t="s">
        <v>207</v>
      </c>
      <c r="O33" s="24" t="s">
        <v>208</v>
      </c>
      <c r="P33" s="9"/>
      <c r="Q33" s="4" t="str">
        <f t="shared" si="4"/>
        <v>Ec. Rosa Morales</v>
      </c>
      <c r="R33" s="35" t="str">
        <f t="shared" si="5"/>
        <v>0998290196</v>
      </c>
      <c r="S33" s="36" t="str">
        <f t="shared" si="6"/>
        <v>rosa.morales@sce.gob.ec</v>
      </c>
      <c r="T33" s="37" t="s">
        <v>209</v>
      </c>
      <c r="U33" s="38"/>
    </row>
    <row r="34" spans="1:21" x14ac:dyDescent="0.3">
      <c r="A34" s="19">
        <f t="shared" si="0"/>
        <v>32</v>
      </c>
      <c r="B34" s="20" t="s">
        <v>210</v>
      </c>
      <c r="C34" s="19" t="s">
        <v>114</v>
      </c>
      <c r="D34" s="20" t="s">
        <v>211</v>
      </c>
      <c r="E34" s="23" t="s">
        <v>35</v>
      </c>
      <c r="F34" s="23"/>
      <c r="G34" s="19" t="s">
        <v>26</v>
      </c>
      <c r="H34" s="19" t="s">
        <v>192</v>
      </c>
      <c r="I34" s="23"/>
      <c r="J34" s="23"/>
      <c r="K34" s="23"/>
      <c r="L34" s="19" t="s">
        <v>43</v>
      </c>
      <c r="M34" s="24" t="s">
        <v>212</v>
      </c>
      <c r="N34" s="30" t="s">
        <v>213</v>
      </c>
      <c r="O34" s="24" t="s">
        <v>214</v>
      </c>
      <c r="P34" s="9"/>
      <c r="Q34" s="4" t="str">
        <f t="shared" si="4"/>
        <v>Ec. Salomé Rosales</v>
      </c>
      <c r="R34" s="35" t="str">
        <f t="shared" si="5"/>
        <v>0995041957</v>
      </c>
      <c r="S34" s="36" t="str">
        <f t="shared" si="6"/>
        <v>salome.rosales@sce.gob.ec</v>
      </c>
      <c r="T34" s="37" t="s">
        <v>215</v>
      </c>
      <c r="U34" s="38"/>
    </row>
    <row r="35" spans="1:21" x14ac:dyDescent="0.3">
      <c r="A35" s="19">
        <f t="shared" ref="A35:A60" si="7">ROW()-ROW($A$2)</f>
        <v>33</v>
      </c>
      <c r="B35" s="20" t="s">
        <v>216</v>
      </c>
      <c r="C35" s="19" t="s">
        <v>114</v>
      </c>
      <c r="D35" s="20" t="s">
        <v>217</v>
      </c>
      <c r="E35" s="23" t="s">
        <v>35</v>
      </c>
      <c r="F35" s="23"/>
      <c r="G35" s="19" t="s">
        <v>26</v>
      </c>
      <c r="H35" s="19" t="s">
        <v>192</v>
      </c>
      <c r="I35" s="23"/>
      <c r="J35" s="23"/>
      <c r="K35" s="23"/>
      <c r="L35" s="19" t="s">
        <v>218</v>
      </c>
      <c r="M35" s="24" t="s">
        <v>219</v>
      </c>
      <c r="N35" s="30" t="s">
        <v>220</v>
      </c>
      <c r="O35" s="24" t="s">
        <v>221</v>
      </c>
      <c r="P35" s="9"/>
      <c r="Q35" s="4" t="str">
        <f t="shared" si="4"/>
        <v>Ec. Salomé Rosales</v>
      </c>
      <c r="R35" s="35" t="str">
        <f t="shared" si="5"/>
        <v>0995041957</v>
      </c>
      <c r="S35" s="36" t="str">
        <f t="shared" si="6"/>
        <v>salome.rosales@sce.gob.ec</v>
      </c>
      <c r="T35" s="37" t="s">
        <v>222</v>
      </c>
      <c r="U35" s="38"/>
    </row>
    <row r="36" spans="1:21" ht="57.6" x14ac:dyDescent="0.3">
      <c r="A36" s="19">
        <f t="shared" si="7"/>
        <v>34</v>
      </c>
      <c r="B36" s="20" t="s">
        <v>223</v>
      </c>
      <c r="C36" s="19" t="s">
        <v>114</v>
      </c>
      <c r="D36" s="20" t="s">
        <v>224</v>
      </c>
      <c r="E36" s="23" t="s">
        <v>35</v>
      </c>
      <c r="F36" s="23"/>
      <c r="G36" s="19" t="s">
        <v>26</v>
      </c>
      <c r="H36" s="19" t="s">
        <v>192</v>
      </c>
      <c r="I36" s="23"/>
      <c r="J36" s="23"/>
      <c r="K36" s="23"/>
      <c r="L36" s="19" t="s">
        <v>225</v>
      </c>
      <c r="M36" s="24" t="s">
        <v>226</v>
      </c>
      <c r="N36" s="30" t="s">
        <v>227</v>
      </c>
      <c r="O36" s="24" t="s">
        <v>228</v>
      </c>
      <c r="P36" s="9"/>
      <c r="Q36" s="4" t="str">
        <f t="shared" si="4"/>
        <v>Ec. Salomé Rosales</v>
      </c>
      <c r="R36" s="35" t="str">
        <f t="shared" si="5"/>
        <v>0995041957</v>
      </c>
      <c r="S36" s="36" t="str">
        <f t="shared" si="6"/>
        <v>salome.rosales@sce.gob.ec</v>
      </c>
      <c r="T36" s="37" t="s">
        <v>229</v>
      </c>
      <c r="U36" s="38" t="s">
        <v>230</v>
      </c>
    </row>
    <row r="37" spans="1:21" x14ac:dyDescent="0.3">
      <c r="A37" s="19">
        <f t="shared" si="7"/>
        <v>35</v>
      </c>
      <c r="B37" s="20" t="s">
        <v>231</v>
      </c>
      <c r="C37" s="19" t="s">
        <v>114</v>
      </c>
      <c r="D37" s="20" t="s">
        <v>232</v>
      </c>
      <c r="E37" s="23" t="s">
        <v>35</v>
      </c>
      <c r="F37" s="23"/>
      <c r="G37" s="19" t="s">
        <v>26</v>
      </c>
      <c r="H37" s="19" t="s">
        <v>192</v>
      </c>
      <c r="I37" s="23"/>
      <c r="J37" s="23"/>
      <c r="K37" s="23"/>
      <c r="L37" s="19" t="s">
        <v>43</v>
      </c>
      <c r="M37" s="24" t="s">
        <v>233</v>
      </c>
      <c r="N37" s="30" t="s">
        <v>234</v>
      </c>
      <c r="O37" s="24" t="s">
        <v>235</v>
      </c>
      <c r="P37" s="9"/>
      <c r="Q37" s="4" t="str">
        <f t="shared" si="4"/>
        <v>Ec. Salomé Rosales</v>
      </c>
      <c r="R37" s="35" t="str">
        <f t="shared" si="5"/>
        <v>0995041957</v>
      </c>
      <c r="S37" s="36" t="str">
        <f t="shared" si="6"/>
        <v>salome.rosales@sce.gob.ec</v>
      </c>
      <c r="T37" s="37" t="s">
        <v>236</v>
      </c>
      <c r="U37" s="38"/>
    </row>
    <row r="38" spans="1:21" ht="28.8" x14ac:dyDescent="0.3">
      <c r="A38" s="19">
        <f t="shared" si="7"/>
        <v>36</v>
      </c>
      <c r="B38" s="20" t="s">
        <v>237</v>
      </c>
      <c r="C38" s="19" t="s">
        <v>114</v>
      </c>
      <c r="D38" s="20" t="s">
        <v>238</v>
      </c>
      <c r="E38" s="19" t="s">
        <v>25</v>
      </c>
      <c r="F38" s="23"/>
      <c r="G38" s="19" t="s">
        <v>26</v>
      </c>
      <c r="H38" s="19" t="s">
        <v>192</v>
      </c>
      <c r="I38" s="23"/>
      <c r="J38" s="23"/>
      <c r="K38" s="23"/>
      <c r="L38" s="19" t="s">
        <v>239</v>
      </c>
      <c r="M38" s="24" t="s">
        <v>226</v>
      </c>
      <c r="N38" s="30" t="s">
        <v>240</v>
      </c>
      <c r="O38" s="24" t="s">
        <v>228</v>
      </c>
      <c r="P38" s="9"/>
      <c r="Q38" s="4" t="str">
        <f t="shared" si="4"/>
        <v>Ec. Salomé Rosales</v>
      </c>
      <c r="R38" s="35" t="str">
        <f t="shared" si="5"/>
        <v>0995041957</v>
      </c>
      <c r="S38" s="36" t="str">
        <f t="shared" si="6"/>
        <v>salome.rosales@sce.gob.ec</v>
      </c>
      <c r="T38" s="37"/>
      <c r="U38" s="38" t="s">
        <v>241</v>
      </c>
    </row>
    <row r="39" spans="1:21" x14ac:dyDescent="0.3">
      <c r="A39" s="13">
        <f t="shared" si="7"/>
        <v>37</v>
      </c>
      <c r="B39" s="16" t="s">
        <v>242</v>
      </c>
      <c r="C39" s="13" t="s">
        <v>243</v>
      </c>
      <c r="D39" s="16" t="s">
        <v>244</v>
      </c>
      <c r="E39" s="13" t="s">
        <v>35</v>
      </c>
      <c r="F39" s="17"/>
      <c r="G39" s="13" t="s">
        <v>245</v>
      </c>
      <c r="H39" s="13" t="s">
        <v>103</v>
      </c>
      <c r="I39" s="17"/>
      <c r="J39" s="17"/>
      <c r="K39" s="17"/>
      <c r="L39" s="13" t="s">
        <v>246</v>
      </c>
      <c r="M39" s="13" t="s">
        <v>247</v>
      </c>
      <c r="N39" s="13" t="s">
        <v>248</v>
      </c>
      <c r="O39" s="13" t="s">
        <v>249</v>
      </c>
      <c r="P39" s="9"/>
      <c r="Q39" s="4" t="str">
        <f t="shared" si="4"/>
        <v>Ab. Carlos García</v>
      </c>
      <c r="R39" s="35" t="str">
        <f t="shared" si="5"/>
        <v>0996797882</v>
      </c>
      <c r="S39" s="36" t="str">
        <f t="shared" si="6"/>
        <v>carlos.garcia@sce.gob.ec</v>
      </c>
      <c r="T39" s="37" t="s">
        <v>250</v>
      </c>
      <c r="U39" s="38"/>
    </row>
    <row r="40" spans="1:21" x14ac:dyDescent="0.3">
      <c r="A40" s="13">
        <f t="shared" si="7"/>
        <v>38</v>
      </c>
      <c r="B40" s="16" t="s">
        <v>251</v>
      </c>
      <c r="C40" s="13" t="s">
        <v>243</v>
      </c>
      <c r="D40" s="16" t="s">
        <v>252</v>
      </c>
      <c r="E40" s="13" t="s">
        <v>25</v>
      </c>
      <c r="F40" s="17"/>
      <c r="G40" s="13" t="s">
        <v>245</v>
      </c>
      <c r="H40" s="13" t="s">
        <v>103</v>
      </c>
      <c r="I40" s="17"/>
      <c r="J40" s="17"/>
      <c r="K40" s="17"/>
      <c r="L40" s="13" t="s">
        <v>53</v>
      </c>
      <c r="M40" s="18" t="s">
        <v>253</v>
      </c>
      <c r="N40" s="33" t="s">
        <v>254</v>
      </c>
      <c r="O40" s="18" t="s">
        <v>255</v>
      </c>
      <c r="P40" s="9"/>
      <c r="Q40" s="4" t="str">
        <f t="shared" si="4"/>
        <v>Ab. Carlos García</v>
      </c>
      <c r="R40" s="35" t="str">
        <f t="shared" si="5"/>
        <v>0996797882</v>
      </c>
      <c r="S40" s="36" t="str">
        <f t="shared" si="6"/>
        <v>carlos.garcia@sce.gob.ec</v>
      </c>
      <c r="T40" s="37"/>
      <c r="U40" s="38" t="s">
        <v>32</v>
      </c>
    </row>
    <row r="41" spans="1:21" x14ac:dyDescent="0.3">
      <c r="A41" s="13">
        <f t="shared" si="7"/>
        <v>39</v>
      </c>
      <c r="B41" s="16" t="s">
        <v>256</v>
      </c>
      <c r="C41" s="13" t="s">
        <v>243</v>
      </c>
      <c r="D41" s="16" t="s">
        <v>252</v>
      </c>
      <c r="E41" s="13" t="s">
        <v>25</v>
      </c>
      <c r="F41" s="17"/>
      <c r="G41" s="13" t="s">
        <v>245</v>
      </c>
      <c r="H41" s="13" t="s">
        <v>103</v>
      </c>
      <c r="I41" s="17"/>
      <c r="J41" s="17"/>
      <c r="K41" s="17"/>
      <c r="L41" s="13" t="s">
        <v>53</v>
      </c>
      <c r="M41" s="18" t="s">
        <v>257</v>
      </c>
      <c r="N41" s="33" t="s">
        <v>258</v>
      </c>
      <c r="O41" s="18" t="s">
        <v>259</v>
      </c>
      <c r="P41" s="9"/>
      <c r="Q41" s="4" t="str">
        <f t="shared" si="4"/>
        <v>Ab. Carlos García</v>
      </c>
      <c r="R41" s="35" t="str">
        <f t="shared" si="5"/>
        <v>0996797882</v>
      </c>
      <c r="S41" s="36" t="str">
        <f t="shared" si="6"/>
        <v>carlos.garcia@sce.gob.ec</v>
      </c>
      <c r="T41" s="37"/>
      <c r="U41" s="38" t="s">
        <v>32</v>
      </c>
    </row>
    <row r="42" spans="1:21" x14ac:dyDescent="0.3">
      <c r="A42" s="13">
        <f t="shared" si="7"/>
        <v>40</v>
      </c>
      <c r="B42" s="16" t="s">
        <v>260</v>
      </c>
      <c r="C42" s="13" t="s">
        <v>243</v>
      </c>
      <c r="D42" s="16" t="s">
        <v>261</v>
      </c>
      <c r="E42" s="17" t="s">
        <v>35</v>
      </c>
      <c r="F42" s="17"/>
      <c r="G42" s="13" t="s">
        <v>245</v>
      </c>
      <c r="H42" s="13" t="s">
        <v>103</v>
      </c>
      <c r="I42" s="17"/>
      <c r="J42" s="17"/>
      <c r="K42" s="17"/>
      <c r="L42" s="13" t="s">
        <v>246</v>
      </c>
      <c r="M42" s="18" t="s">
        <v>262</v>
      </c>
      <c r="N42" s="18" t="s">
        <v>263</v>
      </c>
      <c r="O42" s="18" t="s">
        <v>264</v>
      </c>
      <c r="P42" s="9"/>
      <c r="Q42" s="4" t="str">
        <f t="shared" si="4"/>
        <v>Ab. Carlos García</v>
      </c>
      <c r="R42" s="35" t="str">
        <f t="shared" si="5"/>
        <v>0996797882</v>
      </c>
      <c r="S42" s="36" t="str">
        <f t="shared" si="6"/>
        <v>carlos.garcia@sce.gob.ec</v>
      </c>
      <c r="T42" s="37" t="s">
        <v>265</v>
      </c>
      <c r="U42" s="38"/>
    </row>
    <row r="43" spans="1:21" x14ac:dyDescent="0.3">
      <c r="A43" s="19">
        <f t="shared" si="7"/>
        <v>41</v>
      </c>
      <c r="B43" s="20" t="s">
        <v>266</v>
      </c>
      <c r="C43" s="19" t="s">
        <v>267</v>
      </c>
      <c r="D43" s="20" t="s">
        <v>268</v>
      </c>
      <c r="E43" s="19" t="s">
        <v>35</v>
      </c>
      <c r="F43" s="19"/>
      <c r="G43" s="19" t="s">
        <v>245</v>
      </c>
      <c r="H43" s="21" t="s">
        <v>52</v>
      </c>
      <c r="I43" s="19"/>
      <c r="J43" s="19"/>
      <c r="K43" s="19"/>
      <c r="L43" s="19" t="s">
        <v>53</v>
      </c>
      <c r="M43" s="19" t="s">
        <v>269</v>
      </c>
      <c r="N43" s="19" t="s">
        <v>270</v>
      </c>
      <c r="O43" s="19" t="s">
        <v>271</v>
      </c>
      <c r="P43" s="9"/>
      <c r="Q43" s="4" t="str">
        <f t="shared" si="4"/>
        <v>Ab. Cristian Romero</v>
      </c>
      <c r="R43" s="35" t="str">
        <f t="shared" si="5"/>
        <v>0993345666</v>
      </c>
      <c r="S43" s="36" t="str">
        <f t="shared" si="6"/>
        <v>cristian.romero@sce.gob.ec</v>
      </c>
      <c r="T43" s="37" t="s">
        <v>272</v>
      </c>
      <c r="U43" s="38"/>
    </row>
    <row r="44" spans="1:21" s="3" customFormat="1" ht="28.8" customHeight="1" x14ac:dyDescent="0.3">
      <c r="A44" s="19">
        <f t="shared" si="7"/>
        <v>42</v>
      </c>
      <c r="B44" s="20" t="s">
        <v>273</v>
      </c>
      <c r="C44" s="19" t="s">
        <v>267</v>
      </c>
      <c r="D44" s="20" t="s">
        <v>274</v>
      </c>
      <c r="E44" s="19" t="s">
        <v>35</v>
      </c>
      <c r="F44" s="19"/>
      <c r="G44" s="19" t="s">
        <v>245</v>
      </c>
      <c r="H44" s="21" t="s">
        <v>52</v>
      </c>
      <c r="I44" s="19"/>
      <c r="J44" s="19"/>
      <c r="K44" s="19"/>
      <c r="L44" s="19" t="s">
        <v>246</v>
      </c>
      <c r="M44" s="19" t="s">
        <v>275</v>
      </c>
      <c r="N44" s="19" t="s">
        <v>276</v>
      </c>
      <c r="O44" s="19" t="s">
        <v>277</v>
      </c>
      <c r="P44" s="1"/>
      <c r="Q44" s="4" t="str">
        <f t="shared" si="4"/>
        <v>Ab. Cristian Romero</v>
      </c>
      <c r="R44" s="35" t="str">
        <f t="shared" si="5"/>
        <v>0993345666</v>
      </c>
      <c r="S44" s="36" t="str">
        <f t="shared" si="6"/>
        <v>cristian.romero@sce.gob.ec</v>
      </c>
      <c r="T44" s="37" t="s">
        <v>278</v>
      </c>
      <c r="U44" s="38"/>
    </row>
    <row r="45" spans="1:21" s="3" customFormat="1" ht="28.8" customHeight="1" x14ac:dyDescent="0.3">
      <c r="A45" s="19">
        <f t="shared" si="7"/>
        <v>43</v>
      </c>
      <c r="B45" s="20" t="s">
        <v>279</v>
      </c>
      <c r="C45" s="19" t="s">
        <v>267</v>
      </c>
      <c r="D45" s="20" t="s">
        <v>280</v>
      </c>
      <c r="E45" s="19" t="s">
        <v>35</v>
      </c>
      <c r="F45" s="19"/>
      <c r="G45" s="19" t="s">
        <v>245</v>
      </c>
      <c r="H45" s="21" t="s">
        <v>52</v>
      </c>
      <c r="I45" s="19"/>
      <c r="J45" s="19"/>
      <c r="K45" s="19"/>
      <c r="L45" s="19" t="s">
        <v>53</v>
      </c>
      <c r="M45" s="19" t="s">
        <v>281</v>
      </c>
      <c r="N45" s="19" t="s">
        <v>282</v>
      </c>
      <c r="O45" s="19" t="s">
        <v>283</v>
      </c>
      <c r="P45" s="1"/>
      <c r="Q45" s="4" t="str">
        <f t="shared" si="4"/>
        <v>Ab. Cristian Romero</v>
      </c>
      <c r="R45" s="35" t="str">
        <f t="shared" si="5"/>
        <v>0993345666</v>
      </c>
      <c r="S45" s="36" t="str">
        <f t="shared" si="6"/>
        <v>cristian.romero@sce.gob.ec</v>
      </c>
      <c r="T45" s="37" t="s">
        <v>284</v>
      </c>
      <c r="U45" s="38" t="s">
        <v>285</v>
      </c>
    </row>
    <row r="46" spans="1:21" s="3" customFormat="1" ht="57.6" x14ac:dyDescent="0.3">
      <c r="A46" s="19">
        <f t="shared" si="7"/>
        <v>44</v>
      </c>
      <c r="B46" s="20" t="s">
        <v>286</v>
      </c>
      <c r="C46" s="19" t="s">
        <v>267</v>
      </c>
      <c r="D46" s="20" t="s">
        <v>287</v>
      </c>
      <c r="E46" s="19" t="s">
        <v>35</v>
      </c>
      <c r="F46" s="19"/>
      <c r="G46" s="19" t="s">
        <v>288</v>
      </c>
      <c r="H46" s="21" t="s">
        <v>52</v>
      </c>
      <c r="I46" s="19"/>
      <c r="J46" s="19"/>
      <c r="K46" s="19"/>
      <c r="L46" s="19" t="s">
        <v>53</v>
      </c>
      <c r="M46" s="19" t="s">
        <v>289</v>
      </c>
      <c r="N46" s="19" t="s">
        <v>290</v>
      </c>
      <c r="O46" s="19" t="s">
        <v>291</v>
      </c>
      <c r="P46" s="1"/>
      <c r="Q46" s="4" t="str">
        <f t="shared" si="4"/>
        <v>Ab. Cristian Romero</v>
      </c>
      <c r="R46" s="35" t="str">
        <f t="shared" si="5"/>
        <v>0993345666</v>
      </c>
      <c r="S46" s="36" t="str">
        <f t="shared" si="6"/>
        <v>cristian.romero@sce.gob.ec</v>
      </c>
      <c r="T46" s="37" t="s">
        <v>292</v>
      </c>
      <c r="U46" s="38" t="s">
        <v>293</v>
      </c>
    </row>
    <row r="47" spans="1:21" s="3" customFormat="1" ht="57.6" customHeight="1" x14ac:dyDescent="0.3">
      <c r="A47" s="19">
        <f t="shared" si="7"/>
        <v>45</v>
      </c>
      <c r="B47" s="20" t="s">
        <v>294</v>
      </c>
      <c r="C47" s="19" t="s">
        <v>267</v>
      </c>
      <c r="D47" s="20" t="s">
        <v>295</v>
      </c>
      <c r="E47" s="19" t="s">
        <v>35</v>
      </c>
      <c r="F47" s="19"/>
      <c r="G47" s="19" t="s">
        <v>288</v>
      </c>
      <c r="H47" s="21" t="s">
        <v>27</v>
      </c>
      <c r="I47" s="19"/>
      <c r="J47" s="19"/>
      <c r="K47" s="19"/>
      <c r="L47" s="19" t="s">
        <v>246</v>
      </c>
      <c r="M47" s="19" t="s">
        <v>296</v>
      </c>
      <c r="N47" s="20" t="s">
        <v>297</v>
      </c>
      <c r="O47" s="19" t="s">
        <v>298</v>
      </c>
      <c r="P47" s="1"/>
      <c r="Q47" s="4" t="str">
        <f t="shared" si="4"/>
        <v>Ing. Milka Nazareno</v>
      </c>
      <c r="R47" s="35" t="str">
        <f t="shared" si="5"/>
        <v>0981768984</v>
      </c>
      <c r="S47" s="36" t="str">
        <f t="shared" si="6"/>
        <v>milka.nazareno@sce.gob.ec</v>
      </c>
      <c r="T47" s="37" t="s">
        <v>299</v>
      </c>
      <c r="U47" s="38" t="s">
        <v>300</v>
      </c>
    </row>
    <row r="48" spans="1:21" x14ac:dyDescent="0.3">
      <c r="A48" s="19">
        <f t="shared" si="7"/>
        <v>46</v>
      </c>
      <c r="B48" s="20" t="s">
        <v>301</v>
      </c>
      <c r="C48" s="19" t="s">
        <v>267</v>
      </c>
      <c r="D48" s="20" t="s">
        <v>302</v>
      </c>
      <c r="E48" s="19" t="s">
        <v>35</v>
      </c>
      <c r="F48" s="19"/>
      <c r="G48" s="19" t="s">
        <v>245</v>
      </c>
      <c r="H48" s="21" t="s">
        <v>52</v>
      </c>
      <c r="I48" s="19"/>
      <c r="J48" s="19"/>
      <c r="K48" s="19"/>
      <c r="L48" s="19" t="s">
        <v>53</v>
      </c>
      <c r="M48" s="19" t="s">
        <v>303</v>
      </c>
      <c r="N48" s="19" t="s">
        <v>304</v>
      </c>
      <c r="O48" s="19" t="s">
        <v>305</v>
      </c>
      <c r="P48" s="9"/>
      <c r="Q48" s="4" t="str">
        <f t="shared" si="4"/>
        <v>Ab. Cristian Romero</v>
      </c>
      <c r="R48" s="35" t="str">
        <f t="shared" si="5"/>
        <v>0993345666</v>
      </c>
      <c r="S48" s="36" t="str">
        <f t="shared" si="6"/>
        <v>cristian.romero@sce.gob.ec</v>
      </c>
      <c r="T48" s="37" t="s">
        <v>306</v>
      </c>
      <c r="U48" s="38"/>
    </row>
    <row r="49" spans="1:21" x14ac:dyDescent="0.3">
      <c r="A49" s="19">
        <f t="shared" si="7"/>
        <v>47</v>
      </c>
      <c r="B49" s="20" t="s">
        <v>307</v>
      </c>
      <c r="C49" s="19" t="s">
        <v>267</v>
      </c>
      <c r="D49" s="20" t="s">
        <v>308</v>
      </c>
      <c r="E49" s="19" t="s">
        <v>35</v>
      </c>
      <c r="F49" s="19"/>
      <c r="G49" s="19" t="s">
        <v>245</v>
      </c>
      <c r="H49" s="21" t="s">
        <v>27</v>
      </c>
      <c r="I49" s="19"/>
      <c r="J49" s="19"/>
      <c r="K49" s="19"/>
      <c r="L49" s="19" t="s">
        <v>53</v>
      </c>
      <c r="M49" s="19" t="s">
        <v>309</v>
      </c>
      <c r="N49" s="32" t="s">
        <v>310</v>
      </c>
      <c r="O49" s="19" t="s">
        <v>311</v>
      </c>
      <c r="P49" s="9"/>
      <c r="Q49" s="4" t="str">
        <f t="shared" si="4"/>
        <v>Ing. Milka Nazareno</v>
      </c>
      <c r="R49" s="35" t="str">
        <f t="shared" si="5"/>
        <v>0981768984</v>
      </c>
      <c r="S49" s="36" t="str">
        <f t="shared" si="6"/>
        <v>milka.nazareno@sce.gob.ec</v>
      </c>
      <c r="T49" s="37" t="s">
        <v>312</v>
      </c>
      <c r="U49" s="38"/>
    </row>
    <row r="50" spans="1:21" x14ac:dyDescent="0.3">
      <c r="A50" s="19">
        <f t="shared" si="7"/>
        <v>48</v>
      </c>
      <c r="B50" s="20" t="s">
        <v>313</v>
      </c>
      <c r="C50" s="19" t="s">
        <v>267</v>
      </c>
      <c r="D50" s="20" t="s">
        <v>314</v>
      </c>
      <c r="E50" s="19" t="s">
        <v>35</v>
      </c>
      <c r="F50" s="19"/>
      <c r="G50" s="19" t="s">
        <v>288</v>
      </c>
      <c r="H50" s="21" t="s">
        <v>103</v>
      </c>
      <c r="I50" s="19"/>
      <c r="J50" s="19"/>
      <c r="K50" s="19"/>
      <c r="L50" s="19" t="s">
        <v>246</v>
      </c>
      <c r="M50" s="19" t="s">
        <v>315</v>
      </c>
      <c r="N50" s="32" t="s">
        <v>316</v>
      </c>
      <c r="O50" s="19" t="s">
        <v>317</v>
      </c>
      <c r="P50" s="9"/>
      <c r="Q50" s="4" t="str">
        <f t="shared" si="4"/>
        <v>Ab. Carlos García</v>
      </c>
      <c r="R50" s="35" t="str">
        <f t="shared" si="5"/>
        <v>0996797882</v>
      </c>
      <c r="S50" s="36" t="str">
        <f t="shared" si="6"/>
        <v>carlos.garcia@sce.gob.ec</v>
      </c>
      <c r="T50" s="37" t="s">
        <v>318</v>
      </c>
      <c r="U50" s="38" t="s">
        <v>319</v>
      </c>
    </row>
    <row r="51" spans="1:21" x14ac:dyDescent="0.3">
      <c r="A51" s="19">
        <f t="shared" si="7"/>
        <v>49</v>
      </c>
      <c r="B51" s="20" t="s">
        <v>320</v>
      </c>
      <c r="C51" s="19" t="s">
        <v>267</v>
      </c>
      <c r="D51" s="20" t="s">
        <v>321</v>
      </c>
      <c r="E51" s="19" t="s">
        <v>35</v>
      </c>
      <c r="F51" s="19"/>
      <c r="G51" s="19" t="s">
        <v>245</v>
      </c>
      <c r="H51" s="21" t="s">
        <v>103</v>
      </c>
      <c r="I51" s="19"/>
      <c r="J51" s="19"/>
      <c r="K51" s="19"/>
      <c r="L51" s="19" t="s">
        <v>53</v>
      </c>
      <c r="M51" s="19" t="s">
        <v>322</v>
      </c>
      <c r="N51" s="32" t="s">
        <v>323</v>
      </c>
      <c r="O51" s="19" t="s">
        <v>324</v>
      </c>
      <c r="P51" s="9"/>
      <c r="Q51" s="4" t="str">
        <f t="shared" si="4"/>
        <v>Ab. Carlos García</v>
      </c>
      <c r="R51" s="35" t="str">
        <f t="shared" si="5"/>
        <v>0996797882</v>
      </c>
      <c r="S51" s="36" t="str">
        <f t="shared" si="6"/>
        <v>carlos.garcia@sce.gob.ec</v>
      </c>
      <c r="T51" s="37" t="s">
        <v>325</v>
      </c>
      <c r="U51" s="38"/>
    </row>
    <row r="52" spans="1:21" ht="28.8" customHeight="1" x14ac:dyDescent="0.3">
      <c r="A52" s="19">
        <f t="shared" si="7"/>
        <v>50</v>
      </c>
      <c r="B52" s="20" t="s">
        <v>326</v>
      </c>
      <c r="C52" s="19" t="s">
        <v>267</v>
      </c>
      <c r="D52" s="20" t="s">
        <v>327</v>
      </c>
      <c r="E52" s="19" t="s">
        <v>35</v>
      </c>
      <c r="F52" s="19"/>
      <c r="G52" s="19" t="s">
        <v>245</v>
      </c>
      <c r="H52" s="21" t="s">
        <v>27</v>
      </c>
      <c r="I52" s="19"/>
      <c r="J52" s="19"/>
      <c r="K52" s="19"/>
      <c r="L52" s="19" t="s">
        <v>53</v>
      </c>
      <c r="M52" s="19" t="s">
        <v>328</v>
      </c>
      <c r="N52" s="20" t="s">
        <v>329</v>
      </c>
      <c r="O52" s="19" t="s">
        <v>330</v>
      </c>
      <c r="P52" s="9" t="s">
        <v>331</v>
      </c>
      <c r="Q52" s="4" t="str">
        <f t="shared" si="4"/>
        <v>Ing. Milka Nazareno</v>
      </c>
      <c r="R52" s="35" t="str">
        <f t="shared" si="5"/>
        <v>0981768984</v>
      </c>
      <c r="S52" s="36" t="str">
        <f t="shared" si="6"/>
        <v>milka.nazareno@sce.gob.ec</v>
      </c>
      <c r="T52" s="37" t="s">
        <v>332</v>
      </c>
      <c r="U52" s="38"/>
    </row>
    <row r="53" spans="1:21" x14ac:dyDescent="0.3">
      <c r="A53" s="19">
        <f t="shared" si="7"/>
        <v>51</v>
      </c>
      <c r="B53" s="20" t="s">
        <v>333</v>
      </c>
      <c r="C53" s="19" t="s">
        <v>267</v>
      </c>
      <c r="D53" s="20" t="s">
        <v>334</v>
      </c>
      <c r="E53" s="19" t="s">
        <v>35</v>
      </c>
      <c r="F53" s="19"/>
      <c r="G53" s="19" t="s">
        <v>245</v>
      </c>
      <c r="H53" s="19" t="s">
        <v>192</v>
      </c>
      <c r="I53" s="19"/>
      <c r="J53" s="19"/>
      <c r="K53" s="19"/>
      <c r="L53" s="19" t="s">
        <v>53</v>
      </c>
      <c r="M53" s="19" t="s">
        <v>335</v>
      </c>
      <c r="N53" s="19" t="s">
        <v>336</v>
      </c>
      <c r="O53" s="19" t="s">
        <v>337</v>
      </c>
      <c r="P53" s="9"/>
      <c r="Q53" s="4" t="str">
        <f t="shared" si="4"/>
        <v>Ec. Salomé Rosales</v>
      </c>
      <c r="R53" s="35" t="str">
        <f t="shared" si="5"/>
        <v>0995041957</v>
      </c>
      <c r="S53" s="36" t="str">
        <f t="shared" si="6"/>
        <v>salome.rosales@sce.gob.ec</v>
      </c>
      <c r="T53" s="37" t="s">
        <v>338</v>
      </c>
      <c r="U53" s="38"/>
    </row>
    <row r="54" spans="1:21" x14ac:dyDescent="0.3">
      <c r="A54" s="19">
        <f t="shared" si="7"/>
        <v>52</v>
      </c>
      <c r="B54" s="20" t="s">
        <v>339</v>
      </c>
      <c r="C54" s="19" t="s">
        <v>267</v>
      </c>
      <c r="D54" s="20" t="s">
        <v>340</v>
      </c>
      <c r="E54" s="19" t="s">
        <v>35</v>
      </c>
      <c r="F54" s="19"/>
      <c r="G54" s="19" t="s">
        <v>245</v>
      </c>
      <c r="H54" s="19" t="s">
        <v>192</v>
      </c>
      <c r="I54" s="19"/>
      <c r="J54" s="19"/>
      <c r="K54" s="19"/>
      <c r="L54" s="19" t="s">
        <v>246</v>
      </c>
      <c r="M54" s="19" t="s">
        <v>341</v>
      </c>
      <c r="N54" s="19" t="s">
        <v>342</v>
      </c>
      <c r="O54" s="19" t="s">
        <v>343</v>
      </c>
      <c r="P54" s="9"/>
      <c r="Q54" s="4" t="str">
        <f t="shared" si="4"/>
        <v>Ec. Salomé Rosales</v>
      </c>
      <c r="R54" s="35" t="str">
        <f t="shared" si="5"/>
        <v>0995041957</v>
      </c>
      <c r="S54" s="36" t="str">
        <f t="shared" si="6"/>
        <v>salome.rosales@sce.gob.ec</v>
      </c>
      <c r="T54" s="37" t="s">
        <v>344</v>
      </c>
      <c r="U54" s="38"/>
    </row>
    <row r="55" spans="1:21" ht="28.8" customHeight="1" x14ac:dyDescent="0.3">
      <c r="A55" s="19">
        <f t="shared" si="7"/>
        <v>53</v>
      </c>
      <c r="B55" s="20" t="s">
        <v>345</v>
      </c>
      <c r="C55" s="19" t="s">
        <v>267</v>
      </c>
      <c r="D55" s="20" t="s">
        <v>346</v>
      </c>
      <c r="E55" s="19" t="s">
        <v>35</v>
      </c>
      <c r="F55" s="19"/>
      <c r="G55" s="19" t="s">
        <v>245</v>
      </c>
      <c r="H55" s="21" t="s">
        <v>103</v>
      </c>
      <c r="I55" s="19"/>
      <c r="J55" s="19"/>
      <c r="K55" s="19"/>
      <c r="L55" s="19" t="s">
        <v>53</v>
      </c>
      <c r="M55" s="19" t="s">
        <v>347</v>
      </c>
      <c r="N55" s="19" t="s">
        <v>348</v>
      </c>
      <c r="O55" s="19" t="s">
        <v>349</v>
      </c>
      <c r="P55" s="9"/>
      <c r="Q55" s="4" t="str">
        <f t="shared" si="4"/>
        <v>Ab. Carlos García</v>
      </c>
      <c r="R55" s="35" t="str">
        <f t="shared" si="5"/>
        <v>0996797882</v>
      </c>
      <c r="S55" s="36" t="str">
        <f t="shared" si="6"/>
        <v>carlos.garcia@sce.gob.ec</v>
      </c>
      <c r="T55" s="37" t="s">
        <v>350</v>
      </c>
      <c r="U55" s="38"/>
    </row>
    <row r="56" spans="1:21" x14ac:dyDescent="0.3">
      <c r="A56" s="19">
        <f t="shared" si="7"/>
        <v>54</v>
      </c>
      <c r="B56" s="20" t="s">
        <v>351</v>
      </c>
      <c r="C56" s="19" t="s">
        <v>267</v>
      </c>
      <c r="D56" s="20" t="s">
        <v>352</v>
      </c>
      <c r="E56" s="19" t="s">
        <v>35</v>
      </c>
      <c r="F56" s="19"/>
      <c r="G56" s="19" t="s">
        <v>245</v>
      </c>
      <c r="H56" s="19" t="s">
        <v>27</v>
      </c>
      <c r="I56" s="19"/>
      <c r="J56" s="19"/>
      <c r="K56" s="19"/>
      <c r="L56" s="19" t="s">
        <v>53</v>
      </c>
      <c r="M56" s="19" t="s">
        <v>353</v>
      </c>
      <c r="N56" s="32" t="s">
        <v>354</v>
      </c>
      <c r="O56" s="19" t="s">
        <v>355</v>
      </c>
      <c r="P56" s="9"/>
      <c r="Q56" s="4" t="str">
        <f t="shared" si="4"/>
        <v>Ing. Milka Nazareno</v>
      </c>
      <c r="R56" s="35" t="str">
        <f t="shared" si="5"/>
        <v>0981768984</v>
      </c>
      <c r="S56" s="36" t="str">
        <f t="shared" si="6"/>
        <v>milka.nazareno@sce.gob.ec</v>
      </c>
      <c r="T56" s="37" t="s">
        <v>356</v>
      </c>
      <c r="U56" s="38"/>
    </row>
    <row r="57" spans="1:21" x14ac:dyDescent="0.3">
      <c r="A57" s="19">
        <f t="shared" si="7"/>
        <v>55</v>
      </c>
      <c r="B57" s="20" t="s">
        <v>357</v>
      </c>
      <c r="C57" s="19" t="s">
        <v>267</v>
      </c>
      <c r="D57" s="20" t="s">
        <v>358</v>
      </c>
      <c r="E57" s="19" t="s">
        <v>35</v>
      </c>
      <c r="F57" s="19"/>
      <c r="G57" s="19" t="s">
        <v>245</v>
      </c>
      <c r="H57" s="19" t="s">
        <v>70</v>
      </c>
      <c r="I57" s="19"/>
      <c r="J57" s="19"/>
      <c r="K57" s="19"/>
      <c r="L57" s="19" t="s">
        <v>53</v>
      </c>
      <c r="M57" s="19" t="s">
        <v>359</v>
      </c>
      <c r="N57" s="19" t="s">
        <v>360</v>
      </c>
      <c r="O57" s="19" t="s">
        <v>361</v>
      </c>
      <c r="P57" s="9"/>
      <c r="Q57" s="4" t="str">
        <f t="shared" si="4"/>
        <v>Ec. Rosa Morales</v>
      </c>
      <c r="R57" s="35" t="str">
        <f t="shared" si="5"/>
        <v>0998290196</v>
      </c>
      <c r="S57" s="36" t="str">
        <f t="shared" si="6"/>
        <v>rosa.morales@sce.gob.ec</v>
      </c>
      <c r="T57" s="37" t="s">
        <v>362</v>
      </c>
      <c r="U57" s="38"/>
    </row>
    <row r="58" spans="1:21" x14ac:dyDescent="0.3">
      <c r="A58" s="19">
        <f t="shared" si="7"/>
        <v>56</v>
      </c>
      <c r="B58" s="20" t="s">
        <v>363</v>
      </c>
      <c r="C58" s="19" t="s">
        <v>267</v>
      </c>
      <c r="D58" s="20" t="s">
        <v>364</v>
      </c>
      <c r="E58" s="19" t="s">
        <v>35</v>
      </c>
      <c r="F58" s="19"/>
      <c r="G58" s="19" t="s">
        <v>245</v>
      </c>
      <c r="H58" s="19" t="s">
        <v>70</v>
      </c>
      <c r="I58" s="19"/>
      <c r="J58" s="19"/>
      <c r="K58" s="19"/>
      <c r="L58" s="19" t="s">
        <v>53</v>
      </c>
      <c r="M58" s="19" t="s">
        <v>365</v>
      </c>
      <c r="N58" s="19" t="s">
        <v>366</v>
      </c>
      <c r="O58" s="19" t="s">
        <v>367</v>
      </c>
      <c r="P58" s="9"/>
      <c r="Q58" s="4" t="str">
        <f t="shared" si="4"/>
        <v>Ec. Rosa Morales</v>
      </c>
      <c r="R58" s="35" t="str">
        <f t="shared" si="5"/>
        <v>0998290196</v>
      </c>
      <c r="S58" s="36" t="str">
        <f t="shared" si="6"/>
        <v>rosa.morales@sce.gob.ec</v>
      </c>
      <c r="T58" s="37" t="s">
        <v>368</v>
      </c>
      <c r="U58" s="38"/>
    </row>
    <row r="59" spans="1:21" x14ac:dyDescent="0.3">
      <c r="A59" s="19">
        <f t="shared" si="7"/>
        <v>57</v>
      </c>
      <c r="B59" s="20" t="s">
        <v>369</v>
      </c>
      <c r="C59" s="19" t="s">
        <v>267</v>
      </c>
      <c r="D59" s="20" t="s">
        <v>370</v>
      </c>
      <c r="E59" s="19" t="s">
        <v>35</v>
      </c>
      <c r="F59" s="19"/>
      <c r="G59" s="19" t="s">
        <v>245</v>
      </c>
      <c r="H59" s="19" t="s">
        <v>192</v>
      </c>
      <c r="I59" s="19"/>
      <c r="J59" s="19"/>
      <c r="K59" s="19"/>
      <c r="L59" s="19" t="s">
        <v>53</v>
      </c>
      <c r="M59" s="19" t="s">
        <v>371</v>
      </c>
      <c r="N59" s="32" t="s">
        <v>372</v>
      </c>
      <c r="O59" s="19" t="s">
        <v>373</v>
      </c>
      <c r="P59" s="9" t="s">
        <v>374</v>
      </c>
      <c r="Q59" s="4" t="str">
        <f t="shared" si="4"/>
        <v>Ec. Salomé Rosales</v>
      </c>
      <c r="R59" s="35" t="str">
        <f t="shared" si="5"/>
        <v>0995041957</v>
      </c>
      <c r="S59" s="36" t="str">
        <f t="shared" si="6"/>
        <v>salome.rosales@sce.gob.ec</v>
      </c>
      <c r="T59" s="37" t="s">
        <v>375</v>
      </c>
      <c r="U59" s="38"/>
    </row>
    <row r="60" spans="1:21" x14ac:dyDescent="0.3">
      <c r="A60" s="19">
        <f t="shared" si="7"/>
        <v>58</v>
      </c>
      <c r="B60" s="20" t="s">
        <v>376</v>
      </c>
      <c r="C60" s="19" t="s">
        <v>267</v>
      </c>
      <c r="D60" s="20" t="s">
        <v>377</v>
      </c>
      <c r="E60" s="23" t="s">
        <v>35</v>
      </c>
      <c r="F60" s="23"/>
      <c r="G60" s="19" t="s">
        <v>245</v>
      </c>
      <c r="H60" s="19" t="s">
        <v>70</v>
      </c>
      <c r="I60" s="23"/>
      <c r="J60" s="23"/>
      <c r="K60" s="23"/>
      <c r="L60" s="19" t="s">
        <v>53</v>
      </c>
      <c r="M60" s="24" t="s">
        <v>378</v>
      </c>
      <c r="N60" s="30" t="s">
        <v>379</v>
      </c>
      <c r="O60" s="24" t="s">
        <v>380</v>
      </c>
      <c r="P60" s="9"/>
      <c r="Q60" s="4" t="str">
        <f t="shared" si="4"/>
        <v>Ec. Rosa Morales</v>
      </c>
      <c r="R60" s="35" t="str">
        <f t="shared" si="5"/>
        <v>0998290196</v>
      </c>
      <c r="S60" s="36" t="str">
        <f t="shared" si="6"/>
        <v>rosa.morales@sce.gob.ec</v>
      </c>
      <c r="T60" s="37" t="s">
        <v>381</v>
      </c>
      <c r="U60" s="38"/>
    </row>
    <row r="61" spans="1:21" x14ac:dyDescent="0.3">
      <c r="A61" s="9">
        <v>57</v>
      </c>
      <c r="B61" s="2" t="s">
        <v>382</v>
      </c>
      <c r="C61" s="1" t="s">
        <v>114</v>
      </c>
      <c r="D61" s="2" t="s">
        <v>383</v>
      </c>
      <c r="E61" s="9" t="s">
        <v>35</v>
      </c>
      <c r="F61" s="9"/>
      <c r="G61" s="1" t="s">
        <v>26</v>
      </c>
      <c r="H61" s="1" t="s">
        <v>103</v>
      </c>
      <c r="I61" s="9"/>
      <c r="J61" s="9"/>
      <c r="K61" s="9"/>
      <c r="L61" s="1" t="s">
        <v>384</v>
      </c>
      <c r="M61" s="10" t="s">
        <v>385</v>
      </c>
      <c r="N61" s="34" t="s">
        <v>386</v>
      </c>
      <c r="O61" s="10" t="s">
        <v>387</v>
      </c>
      <c r="P61" s="9"/>
      <c r="Q61" s="4" t="str">
        <f t="shared" si="4"/>
        <v>Ab. Carlos García</v>
      </c>
      <c r="R61" s="35" t="str">
        <f t="shared" si="5"/>
        <v>0996797882</v>
      </c>
      <c r="S61" s="36" t="str">
        <f t="shared" si="6"/>
        <v>carlos.garcia@sce.gob.ec</v>
      </c>
      <c r="T61" s="37" t="s">
        <v>388</v>
      </c>
      <c r="U61" s="38"/>
    </row>
    <row r="62" spans="1:21" x14ac:dyDescent="0.3">
      <c r="A62" s="9">
        <v>58</v>
      </c>
      <c r="B62" s="2" t="s">
        <v>389</v>
      </c>
      <c r="C62" s="1" t="s">
        <v>114</v>
      </c>
      <c r="D62" s="2" t="s">
        <v>390</v>
      </c>
      <c r="E62" s="1" t="s">
        <v>25</v>
      </c>
      <c r="F62" s="9"/>
      <c r="G62" s="1" t="s">
        <v>26</v>
      </c>
      <c r="H62" s="1" t="s">
        <v>70</v>
      </c>
      <c r="I62" s="9"/>
      <c r="J62" s="9"/>
      <c r="K62" s="9"/>
      <c r="L62" s="1" t="s">
        <v>391</v>
      </c>
      <c r="M62" s="10" t="s">
        <v>392</v>
      </c>
      <c r="N62" s="34" t="s">
        <v>393</v>
      </c>
      <c r="O62" s="10" t="s">
        <v>394</v>
      </c>
      <c r="P62" s="9"/>
      <c r="Q62" s="4" t="str">
        <f t="shared" si="4"/>
        <v>Ec. Rosa Morales</v>
      </c>
      <c r="R62" s="35" t="str">
        <f t="shared" si="5"/>
        <v>0998290196</v>
      </c>
      <c r="S62" s="36" t="str">
        <f t="shared" si="6"/>
        <v>rosa.morales@sce.gob.ec</v>
      </c>
      <c r="T62" s="37"/>
      <c r="U62" s="38" t="s">
        <v>32</v>
      </c>
    </row>
    <row r="63" spans="1:21" ht="28.8" x14ac:dyDescent="0.3">
      <c r="A63" s="9">
        <v>59</v>
      </c>
      <c r="B63" s="2" t="s">
        <v>395</v>
      </c>
      <c r="C63" s="1" t="s">
        <v>114</v>
      </c>
      <c r="D63" s="2" t="s">
        <v>396</v>
      </c>
      <c r="E63" s="9" t="s">
        <v>35</v>
      </c>
      <c r="F63" s="9"/>
      <c r="G63" s="1" t="s">
        <v>26</v>
      </c>
      <c r="H63" s="1" t="s">
        <v>70</v>
      </c>
      <c r="I63" s="9"/>
      <c r="J63" s="9"/>
      <c r="K63" s="9"/>
      <c r="L63" s="1" t="s">
        <v>177</v>
      </c>
      <c r="M63" s="10" t="s">
        <v>397</v>
      </c>
      <c r="N63" s="34" t="s">
        <v>398</v>
      </c>
      <c r="O63" s="10" t="s">
        <v>399</v>
      </c>
      <c r="P63" s="9" t="s">
        <v>400</v>
      </c>
      <c r="Q63" s="4" t="str">
        <f t="shared" si="4"/>
        <v>Ec. Rosa Morales</v>
      </c>
      <c r="R63" s="35" t="str">
        <f t="shared" si="5"/>
        <v>0998290196</v>
      </c>
      <c r="S63" s="36" t="str">
        <f t="shared" si="6"/>
        <v>rosa.morales@sce.gob.ec</v>
      </c>
      <c r="T63" s="37" t="s">
        <v>401</v>
      </c>
      <c r="U63" s="38" t="s">
        <v>402</v>
      </c>
    </row>
    <row r="64" spans="1:21" x14ac:dyDescent="0.3">
      <c r="A64" s="9">
        <v>60</v>
      </c>
      <c r="B64" s="2" t="s">
        <v>403</v>
      </c>
      <c r="C64" s="1" t="s">
        <v>114</v>
      </c>
      <c r="D64" s="2" t="s">
        <v>404</v>
      </c>
      <c r="E64" s="9" t="s">
        <v>35</v>
      </c>
      <c r="F64" s="9"/>
      <c r="G64" s="1" t="s">
        <v>26</v>
      </c>
      <c r="H64" s="1" t="s">
        <v>70</v>
      </c>
      <c r="I64" s="9"/>
      <c r="J64" s="9"/>
      <c r="K64" s="9"/>
      <c r="L64" s="1" t="s">
        <v>43</v>
      </c>
      <c r="M64" s="10" t="s">
        <v>405</v>
      </c>
      <c r="N64" s="34" t="s">
        <v>406</v>
      </c>
      <c r="O64" s="10" t="s">
        <v>407</v>
      </c>
      <c r="P64" s="9"/>
      <c r="Q64" s="4" t="str">
        <f t="shared" si="4"/>
        <v>Ec. Rosa Morales</v>
      </c>
      <c r="R64" s="35" t="str">
        <f t="shared" si="5"/>
        <v>0998290196</v>
      </c>
      <c r="S64" s="36" t="str">
        <f t="shared" si="6"/>
        <v>rosa.morales@sce.gob.ec</v>
      </c>
      <c r="T64" s="37" t="s">
        <v>408</v>
      </c>
      <c r="U64" s="38"/>
    </row>
    <row r="65" spans="1:21" x14ac:dyDescent="0.3">
      <c r="A65" s="9">
        <v>61</v>
      </c>
      <c r="B65" s="11" t="s">
        <v>409</v>
      </c>
      <c r="C65" s="3" t="s">
        <v>23</v>
      </c>
      <c r="D65" s="8" t="s">
        <v>410</v>
      </c>
      <c r="E65" s="3" t="s">
        <v>25</v>
      </c>
      <c r="L65" s="3" t="s">
        <v>53</v>
      </c>
      <c r="T65" s="37"/>
      <c r="U65" s="38" t="s">
        <v>32</v>
      </c>
    </row>
    <row r="66" spans="1:21" x14ac:dyDescent="0.3">
      <c r="A66" s="9">
        <v>62</v>
      </c>
      <c r="B66" s="11" t="s">
        <v>411</v>
      </c>
      <c r="C66" s="3" t="s">
        <v>114</v>
      </c>
      <c r="D66" s="8" t="s">
        <v>412</v>
      </c>
      <c r="E66" s="3" t="s">
        <v>25</v>
      </c>
      <c r="L66" s="3" t="s">
        <v>413</v>
      </c>
      <c r="T66" s="37"/>
      <c r="U66" s="38" t="s">
        <v>32</v>
      </c>
    </row>
    <row r="67" spans="1:21" x14ac:dyDescent="0.3">
      <c r="A67" s="9">
        <v>63</v>
      </c>
      <c r="B67" s="11" t="s">
        <v>414</v>
      </c>
      <c r="C67" s="3" t="s">
        <v>114</v>
      </c>
      <c r="D67" s="8" t="s">
        <v>415</v>
      </c>
      <c r="E67" s="3" t="s">
        <v>25</v>
      </c>
      <c r="L67" s="3" t="s">
        <v>413</v>
      </c>
      <c r="T67" s="37"/>
      <c r="U67" s="38" t="s">
        <v>32</v>
      </c>
    </row>
    <row r="68" spans="1:21" x14ac:dyDescent="0.3">
      <c r="A68" s="9">
        <v>64</v>
      </c>
      <c r="B68" s="11" t="s">
        <v>416</v>
      </c>
      <c r="C68" s="3" t="s">
        <v>114</v>
      </c>
      <c r="D68" s="8" t="s">
        <v>417</v>
      </c>
      <c r="E68" s="3" t="s">
        <v>25</v>
      </c>
      <c r="L68" s="3" t="s">
        <v>413</v>
      </c>
      <c r="T68" s="37"/>
      <c r="U68" s="38" t="s">
        <v>32</v>
      </c>
    </row>
    <row r="69" spans="1:21" ht="28.8" customHeight="1" x14ac:dyDescent="0.3">
      <c r="A69" s="9">
        <v>65</v>
      </c>
      <c r="B69" s="11" t="s">
        <v>418</v>
      </c>
      <c r="C69" s="3" t="s">
        <v>114</v>
      </c>
      <c r="D69" s="8" t="s">
        <v>419</v>
      </c>
      <c r="E69" s="3" t="s">
        <v>25</v>
      </c>
      <c r="L69" s="3" t="s">
        <v>413</v>
      </c>
      <c r="T69" s="37"/>
      <c r="U69" s="38" t="s">
        <v>32</v>
      </c>
    </row>
    <row r="70" spans="1:21" x14ac:dyDescent="0.3">
      <c r="A70" s="9">
        <v>66</v>
      </c>
      <c r="B70" s="11" t="s">
        <v>420</v>
      </c>
      <c r="C70" s="3" t="s">
        <v>114</v>
      </c>
      <c r="D70" s="8" t="s">
        <v>421</v>
      </c>
      <c r="E70" s="3" t="s">
        <v>25</v>
      </c>
      <c r="L70" s="3" t="s">
        <v>413</v>
      </c>
      <c r="T70" s="37"/>
      <c r="U70" s="38" t="s">
        <v>32</v>
      </c>
    </row>
    <row r="71" spans="1:21" ht="43.2" x14ac:dyDescent="0.3">
      <c r="A71" s="9">
        <v>67</v>
      </c>
      <c r="B71" s="11" t="s">
        <v>422</v>
      </c>
      <c r="C71" s="3" t="s">
        <v>114</v>
      </c>
      <c r="E71" s="4" t="s">
        <v>35</v>
      </c>
      <c r="G71" s="3" t="s">
        <v>423</v>
      </c>
      <c r="T71" s="37" t="s">
        <v>424</v>
      </c>
      <c r="U71" s="38" t="s">
        <v>425</v>
      </c>
    </row>
    <row r="78" spans="1:21" ht="28.8" customHeight="1" x14ac:dyDescent="0.3">
      <c r="B78" s="11" t="s">
        <v>426</v>
      </c>
    </row>
    <row r="81" spans="2:6" x14ac:dyDescent="0.3">
      <c r="B81" s="8">
        <f>56/8</f>
        <v>7</v>
      </c>
      <c r="C81" s="3">
        <v>10</v>
      </c>
      <c r="D81" s="8" t="s">
        <v>52</v>
      </c>
    </row>
    <row r="82" spans="2:6" x14ac:dyDescent="0.3">
      <c r="C82" s="3">
        <v>10</v>
      </c>
      <c r="D82" s="8" t="s">
        <v>70</v>
      </c>
    </row>
    <row r="83" spans="2:6" x14ac:dyDescent="0.3">
      <c r="C83" s="3">
        <v>10</v>
      </c>
      <c r="D83" s="8" t="s">
        <v>192</v>
      </c>
    </row>
    <row r="84" spans="2:6" x14ac:dyDescent="0.3">
      <c r="C84" s="3">
        <v>28</v>
      </c>
      <c r="D84" s="8" t="s">
        <v>427</v>
      </c>
      <c r="E84" s="4" t="s">
        <v>428</v>
      </c>
      <c r="F84" s="4" t="s">
        <v>429</v>
      </c>
    </row>
    <row r="85" spans="2:6" x14ac:dyDescent="0.3">
      <c r="C85" s="3">
        <f>+SUM(C81:C84)</f>
        <v>58</v>
      </c>
    </row>
    <row r="87" spans="2:6" x14ac:dyDescent="0.3">
      <c r="B87" s="27" t="s">
        <v>9</v>
      </c>
      <c r="C87" s="28" t="s">
        <v>430</v>
      </c>
    </row>
    <row r="88" spans="2:6" x14ac:dyDescent="0.3">
      <c r="B88" s="11" t="s">
        <v>27</v>
      </c>
      <c r="C88" s="4">
        <f t="shared" ref="C88:C94" si="8">COUNTIF($H$3:$H$64,B88)</f>
        <v>13</v>
      </c>
    </row>
    <row r="89" spans="2:6" x14ac:dyDescent="0.3">
      <c r="B89" s="11" t="s">
        <v>36</v>
      </c>
      <c r="C89" s="4">
        <f t="shared" si="8"/>
        <v>3</v>
      </c>
    </row>
    <row r="90" spans="2:6" x14ac:dyDescent="0.3">
      <c r="B90" s="11" t="s">
        <v>103</v>
      </c>
      <c r="C90" s="4">
        <f t="shared" si="8"/>
        <v>14</v>
      </c>
    </row>
    <row r="91" spans="2:6" x14ac:dyDescent="0.3">
      <c r="B91" s="11" t="s">
        <v>145</v>
      </c>
      <c r="C91" s="4">
        <f t="shared" si="8"/>
        <v>2</v>
      </c>
    </row>
    <row r="92" spans="2:6" x14ac:dyDescent="0.3">
      <c r="B92" s="11" t="s">
        <v>52</v>
      </c>
      <c r="C92" s="4">
        <f t="shared" si="8"/>
        <v>10</v>
      </c>
    </row>
    <row r="93" spans="2:6" x14ac:dyDescent="0.3">
      <c r="B93" s="11" t="s">
        <v>70</v>
      </c>
      <c r="C93" s="4">
        <f t="shared" si="8"/>
        <v>10</v>
      </c>
    </row>
    <row r="94" spans="2:6" x14ac:dyDescent="0.3">
      <c r="B94" s="11" t="s">
        <v>192</v>
      </c>
      <c r="C94" s="4">
        <f t="shared" si="8"/>
        <v>10</v>
      </c>
    </row>
    <row r="95" spans="2:6" x14ac:dyDescent="0.3">
      <c r="B95" s="11" t="s">
        <v>431</v>
      </c>
      <c r="C95" s="4">
        <f>COUNTBLANK($H$3:$H$64)</f>
        <v>0</v>
      </c>
    </row>
    <row r="96" spans="2:6" x14ac:dyDescent="0.3">
      <c r="B96" s="27" t="s">
        <v>432</v>
      </c>
      <c r="C96" s="25">
        <f>SUM(C88:C95)</f>
        <v>62</v>
      </c>
    </row>
  </sheetData>
  <autoFilter ref="A2:K70" xr:uid="{00000000-0009-0000-0000-000000000000}"/>
  <mergeCells count="2">
    <mergeCell ref="J1:K1"/>
    <mergeCell ref="B1:G1"/>
  </mergeCells>
  <hyperlinks>
    <hyperlink ref="N4" r:id="rId1" display="cquispeb@vitapro.com.ec" xr:uid="{00000000-0004-0000-0000-000000000000}"/>
    <hyperlink ref="N5" r:id="rId2" xr:uid="{00000000-0004-0000-0000-000001000000}"/>
    <hyperlink ref="N20" r:id="rId3" xr:uid="{00000000-0004-0000-0000-000002000000}"/>
    <hyperlink ref="N25" r:id="rId4" xr:uid="{00000000-0004-0000-0000-000003000000}"/>
    <hyperlink ref="N26" r:id="rId5" xr:uid="{00000000-0004-0000-0000-000004000000}"/>
    <hyperlink ref="N31" r:id="rId6" xr:uid="{00000000-0004-0000-0000-000005000000}"/>
    <hyperlink ref="S31" r:id="rId7" display="salome.rosales@sce.gob.ec" xr:uid="{00000000-0004-0000-0000-000006000000}"/>
    <hyperlink ref="N32" r:id="rId8" xr:uid="{00000000-0004-0000-0000-000007000000}"/>
    <hyperlink ref="S32" r:id="rId9" display="salome.rosales@sce.gob.ec" xr:uid="{00000000-0004-0000-0000-000008000000}"/>
    <hyperlink ref="S33" r:id="rId10" display="salome.rosales@sce.gob.ec" xr:uid="{00000000-0004-0000-0000-000009000000}"/>
    <hyperlink ref="N34" r:id="rId11" xr:uid="{00000000-0004-0000-0000-00000A000000}"/>
    <hyperlink ref="S34" r:id="rId12" display="salome.rosales@sce.gob.ec" xr:uid="{00000000-0004-0000-0000-00000B000000}"/>
    <hyperlink ref="N35" r:id="rId13" xr:uid="{00000000-0004-0000-0000-00000C000000}"/>
    <hyperlink ref="S35" r:id="rId14" display="salome.rosales@sce.gob.ec" xr:uid="{00000000-0004-0000-0000-00000D000000}"/>
    <hyperlink ref="N36" r:id="rId15" display="insc_emp_pn@esmena.edu.ec" xr:uid="{00000000-0004-0000-0000-00000E000000}"/>
    <hyperlink ref="S36" r:id="rId16" display="salome.rosales@sce.gob.ec" xr:uid="{00000000-0004-0000-0000-00000F000000}"/>
    <hyperlink ref="N37" r:id="rId17" xr:uid="{00000000-0004-0000-0000-000010000000}"/>
    <hyperlink ref="S37" r:id="rId18" display="salome.rosales@sce.gob.ec" xr:uid="{00000000-0004-0000-0000-000011000000}"/>
    <hyperlink ref="N38" r:id="rId19" xr:uid="{00000000-0004-0000-0000-000012000000}"/>
    <hyperlink ref="S38" r:id="rId20" display="salome.rosales@sce.gob.ec" xr:uid="{00000000-0004-0000-0000-000013000000}"/>
    <hyperlink ref="S39" r:id="rId21" display="salome.rosales@sce.gob.ec" xr:uid="{00000000-0004-0000-0000-000014000000}"/>
    <hyperlink ref="N40" r:id="rId22" xr:uid="{00000000-0004-0000-0000-000015000000}"/>
    <hyperlink ref="S40" r:id="rId23" display="salome.rosales@sce.gob.ec" xr:uid="{00000000-0004-0000-0000-000016000000}"/>
    <hyperlink ref="N41" r:id="rId24" xr:uid="{00000000-0004-0000-0000-000017000000}"/>
    <hyperlink ref="S41" r:id="rId25" display="salome.rosales@sce.gob.ec" xr:uid="{00000000-0004-0000-0000-000018000000}"/>
    <hyperlink ref="S42" r:id="rId26" display="salome.rosales@sce.gob.ec" xr:uid="{00000000-0004-0000-0000-000019000000}"/>
    <hyperlink ref="S43" r:id="rId27" display="salome.rosales@sce.gob.ec" xr:uid="{00000000-0004-0000-0000-00001A000000}"/>
    <hyperlink ref="S44" r:id="rId28" display="salome.rosales@sce.gob.ec" xr:uid="{00000000-0004-0000-0000-00001B000000}"/>
    <hyperlink ref="S45" r:id="rId29" display="salome.rosales@sce.gob.ec" xr:uid="{00000000-0004-0000-0000-00001C000000}"/>
    <hyperlink ref="S46" r:id="rId30" display="salome.rosales@sce.gob.ec" xr:uid="{00000000-0004-0000-0000-00001D000000}"/>
    <hyperlink ref="S47" r:id="rId31" display="salome.rosales@sce.gob.ec" xr:uid="{00000000-0004-0000-0000-00001E000000}"/>
    <hyperlink ref="S48" r:id="rId32" display="salome.rosales@sce.gob.ec" xr:uid="{00000000-0004-0000-0000-00001F000000}"/>
    <hyperlink ref="N49" r:id="rId33" xr:uid="{00000000-0004-0000-0000-000020000000}"/>
    <hyperlink ref="S49" r:id="rId34" display="salome.rosales@sce.gob.ec" xr:uid="{00000000-0004-0000-0000-000021000000}"/>
    <hyperlink ref="N50" r:id="rId35" display="comunicacion@espol.edu.ec" xr:uid="{00000000-0004-0000-0000-000022000000}"/>
    <hyperlink ref="S50" r:id="rId36" display="salome.rosales@sce.gob.ec" xr:uid="{00000000-0004-0000-0000-000023000000}"/>
    <hyperlink ref="N51" r:id="rId37" display="walter.mera@cu.ucsg.edu.ec" xr:uid="{00000000-0004-0000-0000-000024000000}"/>
    <hyperlink ref="S51" r:id="rId38" display="salome.rosales@sce.gob.ec" xr:uid="{00000000-0004-0000-0000-000025000000}"/>
    <hyperlink ref="S52" r:id="rId39" display="salome.rosales@sce.gob.ec" xr:uid="{00000000-0004-0000-0000-000026000000}"/>
    <hyperlink ref="S53" r:id="rId40" display="salome.rosales@sce.gob.ec" xr:uid="{00000000-0004-0000-0000-000027000000}"/>
    <hyperlink ref="S54" r:id="rId41" display="salome.rosales@sce.gob.ec" xr:uid="{00000000-0004-0000-0000-000028000000}"/>
    <hyperlink ref="S55" r:id="rId42" display="salome.rosales@sce.gob.ec" xr:uid="{00000000-0004-0000-0000-000029000000}"/>
    <hyperlink ref="N56" r:id="rId43" xr:uid="{00000000-0004-0000-0000-00002A000000}"/>
    <hyperlink ref="S56" r:id="rId44" display="salome.rosales@sce.gob.ec" xr:uid="{00000000-0004-0000-0000-00002B000000}"/>
    <hyperlink ref="S57" r:id="rId45" display="salome.rosales@sce.gob.ec" xr:uid="{00000000-0004-0000-0000-00002C000000}"/>
    <hyperlink ref="S58" r:id="rId46" display="salome.rosales@sce.gob.ec" xr:uid="{00000000-0004-0000-0000-00002D000000}"/>
    <hyperlink ref="N59" r:id="rId47" display="informacion@utpl.edu.ec" xr:uid="{00000000-0004-0000-0000-00002E000000}"/>
    <hyperlink ref="S59" r:id="rId48" display="salome.rosales@sce.gob.ec" xr:uid="{00000000-0004-0000-0000-00002F000000}"/>
    <hyperlink ref="N60" r:id="rId49" xr:uid="{00000000-0004-0000-0000-000030000000}"/>
    <hyperlink ref="S60" r:id="rId50" display="salome.rosales@sce.gob.ec" xr:uid="{00000000-0004-0000-0000-000031000000}"/>
    <hyperlink ref="N61" r:id="rId51" xr:uid="{00000000-0004-0000-0000-000032000000}"/>
    <hyperlink ref="S61" r:id="rId52" display="salome.rosales@sce.gob.ec" xr:uid="{00000000-0004-0000-0000-000033000000}"/>
    <hyperlink ref="N62" r:id="rId53" xr:uid="{00000000-0004-0000-0000-000034000000}"/>
    <hyperlink ref="S62" r:id="rId54" display="salome.rosales@sce.gob.ec" xr:uid="{00000000-0004-0000-0000-000035000000}"/>
    <hyperlink ref="N63" r:id="rId55" xr:uid="{00000000-0004-0000-0000-000036000000}"/>
    <hyperlink ref="S63" r:id="rId56" display="salome.rosales@sce.gob.ec" xr:uid="{00000000-0004-0000-0000-000037000000}"/>
    <hyperlink ref="N64" r:id="rId57" xr:uid="{00000000-0004-0000-0000-000038000000}"/>
    <hyperlink ref="S64" r:id="rId58" display="salome.rosales@sce.gob.ec" xr:uid="{00000000-0004-0000-0000-000039000000}"/>
  </hyperlinks>
  <pageMargins left="0.7" right="0.7" top="0.75" bottom="0.75" header="0.3" footer="0.3"/>
  <pageSetup paperSize="9" orientation="portrait" horizontalDpi="4294967293" verticalDpi="4294967293"/>
  <legacyDrawing r:id="rId5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Invitados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Murillo</dc:creator>
  <cp:lastModifiedBy>Jose Leonardo Matías Sanchez</cp:lastModifiedBy>
  <dcterms:created xsi:type="dcterms:W3CDTF">2026-05-11T14:50:20Z</dcterms:created>
  <dcterms:modified xsi:type="dcterms:W3CDTF">2026-09-09T13:43:50Z</dcterms:modified>
</cp:coreProperties>
</file>